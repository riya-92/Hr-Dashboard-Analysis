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drawings/drawing5.xml" ContentType="application/vnd.openxmlformats-officedocument.drawing+xml"/>
  <Override PartName="/xl/slicers/slicer5.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https://d.docs.live.net/92238808fe9f0ec7/Documents/"/>
    </mc:Choice>
  </mc:AlternateContent>
  <xr:revisionPtr revIDLastSave="1" documentId="14_{9A5370F0-4824-4009-B106-3FD6E8F2ECD3}" xr6:coauthVersionLast="47" xr6:coauthVersionMax="47" xr10:uidLastSave="{05AFB8B7-D518-435D-8F07-5826D7915667}"/>
  <bookViews>
    <workbookView xWindow="-120" yWindow="-120" windowWidth="20730" windowHeight="11040" firstSheet="18" activeTab="21" xr2:uid="{FBC9B5F6-B9D1-49B9-8C7B-2C61D2C9EB97}"/>
  </bookViews>
  <sheets>
    <sheet name="Sheet8" sheetId="13" r:id="rId1"/>
    <sheet name="Sheet1" sheetId="14" r:id="rId2"/>
    <sheet name="Sheet2" sheetId="15" r:id="rId3"/>
    <sheet name="Sheet3" sheetId="16" r:id="rId4"/>
    <sheet name="Sheet4" sheetId="17" r:id="rId5"/>
    <sheet name="Sheet5" sheetId="18" r:id="rId6"/>
    <sheet name="Sheet6" sheetId="19" r:id="rId7"/>
    <sheet name="Sheet7" sheetId="20" r:id="rId8"/>
    <sheet name="Sheet9" sheetId="21" r:id="rId9"/>
    <sheet name="Sheet10" sheetId="22" r:id="rId10"/>
    <sheet name="Sheet11" sheetId="23" r:id="rId11"/>
    <sheet name="Sheet12" sheetId="24" r:id="rId12"/>
    <sheet name="Sheet13" sheetId="25" r:id="rId13"/>
    <sheet name="Sheet14" sheetId="26" r:id="rId14"/>
    <sheet name="Data" sheetId="1" r:id="rId15"/>
    <sheet name="ATTRITION BY JOB ROLE" sheetId="7" r:id="rId16"/>
    <sheet name="EDUCATION CHART" sheetId="6" r:id="rId17"/>
    <sheet name="MALE ANSD FEMALE" sheetId="5" r:id="rId18"/>
    <sheet name="RATING" sheetId="4" r:id="rId19"/>
    <sheet name="total employee" sheetId="3" r:id="rId20"/>
    <sheet name="DEPARTMENT " sheetId="12" r:id="rId21"/>
    <sheet name="DASHBOARD" sheetId="2" r:id="rId22"/>
  </sheets>
  <definedNames>
    <definedName name="_xlchart.v1.2" hidden="1">'ATTRITION BY JOB ROLE'!$B$18:$B$26</definedName>
    <definedName name="_xlchart.v1.3" hidden="1">'ATTRITION BY JOB ROLE'!$C$18:$C$26</definedName>
    <definedName name="_xlchart.v2.0" hidden="1">Sheet8!$A$10:$A$12</definedName>
    <definedName name="_xlchart.v2.1" hidden="1">Sheet8!$B$10:$B$12</definedName>
    <definedName name="Slicer_Department">#N/A</definedName>
    <definedName name="Slicer_Education_Field">#N/A</definedName>
    <definedName name="Slicer_Gender1">#N/A</definedName>
  </definedNames>
  <calcPr calcId="191029"/>
  <pivotCaches>
    <pivotCache cacheId="0" r:id="rId23"/>
  </pivotCaches>
  <extLs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3" l="1"/>
  <c r="A12" i="13"/>
  <c r="B11" i="13"/>
  <c r="B12" i="13"/>
  <c r="B10" i="13"/>
  <c r="A10" i="13"/>
  <c r="B9" i="5"/>
  <c r="B10" i="5"/>
  <c r="B7" i="3"/>
  <c r="D7" i="3"/>
  <c r="C7" i="3"/>
  <c r="B6" i="4"/>
  <c r="C10" i="5" l="1"/>
  <c r="E7" i="3"/>
  <c r="F7" i="3"/>
  <c r="B7" i="4"/>
  <c r="C7" i="4" s="1"/>
  <c r="C6" i="4"/>
  <c r="C9" i="5"/>
</calcChain>
</file>

<file path=xl/sharedStrings.xml><?xml version="1.0" encoding="utf-8"?>
<sst xmlns="http://schemas.openxmlformats.org/spreadsheetml/2006/main" count="19209" uniqueCount="1570">
  <si>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</si>
  <si>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</si>
  <si>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</si>
  <si>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</si>
  <si>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</si>
  <si>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</si>
  <si>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</si>
  <si>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</si>
  <si>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</si>
  <si>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</si>
  <si>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</si>
  <si>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</si>
  <si>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</si>
  <si>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</si>
  <si>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</si>
  <si>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</si>
  <si>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</si>
  <si>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</si>
  <si>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</si>
  <si>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</si>
  <si>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</si>
  <si>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</si>
  <si>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</si>
  <si>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</si>
  <si>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</si>
  <si>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</si>
  <si>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</si>
  <si>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</si>
  <si>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</si>
  <si>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</si>
  <si>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</si>
  <si>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</si>
  <si>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</si>
  <si>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</si>
  <si>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</si>
  <si>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</si>
  <si>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</si>
  <si>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</si>
  <si>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</si>
  <si>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</si>
  <si>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</si>
  <si>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</si>
  <si>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</si>
  <si>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</si>
  <si>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</si>
  <si>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</si>
  <si>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</si>
  <si>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</si>
  <si>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</si>
  <si>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</si>
  <si>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</si>
  <si>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</si>
  <si>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</si>
  <si>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</si>
  <si>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</si>
  <si>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</si>
  <si>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</si>
  <si>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</si>
  <si>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</si>
  <si>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</si>
  <si>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</si>
  <si>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</si>
  <si>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</si>
  <si>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</si>
  <si>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</si>
  <si>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</si>
  <si>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</si>
  <si>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</si>
  <si>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</si>
  <si>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</si>
  <si>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</si>
  <si>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</si>
  <si>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</si>
  <si>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</si>
  <si>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</si>
  <si>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</si>
  <si>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</si>
  <si>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</si>
  <si>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</si>
  <si>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</si>
  <si>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</si>
  <si>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</si>
  <si>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</si>
  <si>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</si>
  <si>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</si>
  <si>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</si>
  <si>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</si>
  <si>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</si>
  <si>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</si>
  <si>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</si>
  <si>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</si>
  <si>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</si>
  <si>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</si>
  <si>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</si>
  <si>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</si>
  <si>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</si>
  <si>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</si>
  <si>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</si>
  <si>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</si>
  <si>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</si>
  <si>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</si>
  <si>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</si>
  <si>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</si>
  <si>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</si>
  <si>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</si>
  <si>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</si>
  <si>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</si>
  <si>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</si>
  <si>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</si>
  <si>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</si>
  <si>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</si>
  <si>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</si>
  <si>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</si>
  <si>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</si>
  <si>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</si>
  <si>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</si>
  <si>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</si>
  <si>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</si>
  <si>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</si>
  <si>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</si>
  <si>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</si>
  <si>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</si>
  <si>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</si>
  <si>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</si>
  <si>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</si>
  <si>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</si>
  <si>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</si>
  <si>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</si>
  <si>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</si>
  <si>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</si>
  <si>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</si>
  <si>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</si>
  <si>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</si>
  <si>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</si>
  <si>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</si>
  <si>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</si>
  <si>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</si>
  <si>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</si>
  <si>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</si>
  <si>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</si>
  <si>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</si>
  <si>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</si>
  <si>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</si>
  <si>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</si>
  <si>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</si>
  <si>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</si>
  <si>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</si>
  <si>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</si>
  <si>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</si>
  <si>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</si>
  <si>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</si>
  <si>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</si>
  <si>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</si>
  <si>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</si>
  <si>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</si>
  <si>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</si>
  <si>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</si>
  <si>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</si>
  <si>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</si>
  <si>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</si>
  <si>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</si>
  <si>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</si>
  <si>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</si>
  <si>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</si>
  <si>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</si>
  <si>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</si>
  <si>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</si>
  <si>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</si>
  <si>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</si>
  <si>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</si>
  <si>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</si>
  <si>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</si>
  <si>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</si>
  <si>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</si>
  <si>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</si>
  <si>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</si>
  <si>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</si>
  <si>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</si>
  <si>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</si>
  <si>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</si>
  <si>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</si>
  <si>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</si>
  <si>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</si>
  <si>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</si>
  <si>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</si>
  <si>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</si>
  <si>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</si>
  <si>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</si>
  <si>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</si>
  <si>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</si>
  <si>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</si>
  <si>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</si>
  <si>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</si>
  <si>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</si>
  <si>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</si>
  <si>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</si>
  <si>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</si>
  <si>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</si>
  <si>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</si>
  <si>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</si>
  <si>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</si>
  <si>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</si>
  <si>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</si>
  <si>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</si>
  <si>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</si>
  <si>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</si>
  <si>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</si>
  <si>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</si>
  <si>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</si>
  <si>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</si>
  <si>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</si>
  <si>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</si>
  <si>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</si>
  <si>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</si>
  <si>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</si>
  <si>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</si>
  <si>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</si>
  <si>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</si>
  <si>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</si>
  <si>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</si>
  <si>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</si>
  <si>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</si>
  <si>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</si>
  <si>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</si>
  <si>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</si>
  <si>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</si>
  <si>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</si>
  <si>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</si>
  <si>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</si>
  <si>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</si>
  <si>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</si>
  <si>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</si>
  <si>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</si>
  <si>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</si>
  <si>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</si>
  <si>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</si>
  <si>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</si>
  <si>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</si>
  <si>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</si>
  <si>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</si>
  <si>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</si>
  <si>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</si>
  <si>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</si>
  <si>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</si>
  <si>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</si>
  <si>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</si>
  <si>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</si>
  <si>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</si>
  <si>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</si>
  <si>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</si>
  <si>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</si>
  <si>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</si>
  <si>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</si>
  <si>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</si>
  <si>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</si>
  <si>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</si>
  <si>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</si>
  <si>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</si>
  <si>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</si>
  <si>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</si>
  <si>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</si>
  <si>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</si>
  <si>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</si>
  <si>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</si>
  <si>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</si>
  <si>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</si>
  <si>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</si>
  <si>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</si>
  <si>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</si>
  <si>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</si>
  <si>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</si>
  <si>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</si>
  <si>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</si>
  <si>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</si>
  <si>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</si>
  <si>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</si>
  <si>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</si>
  <si>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</si>
  <si>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</si>
  <si>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</si>
  <si>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</si>
  <si>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</si>
  <si>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</si>
  <si>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</si>
  <si>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</si>
  <si>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</si>
  <si>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</si>
  <si>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</si>
  <si>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</si>
  <si>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</si>
  <si>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</si>
  <si>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</si>
  <si>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</si>
  <si>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</si>
  <si>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</si>
  <si>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</si>
  <si>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</si>
  <si>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</si>
  <si>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</si>
  <si>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</si>
  <si>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</si>
  <si>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</si>
  <si>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</si>
  <si>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</si>
  <si>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</si>
  <si>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</si>
  <si>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</si>
  <si>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</si>
  <si>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</si>
  <si>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</si>
  <si>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</si>
  <si>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</si>
  <si>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</si>
  <si>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</si>
  <si>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</si>
  <si>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</si>
  <si>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</si>
  <si>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</si>
  <si>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</si>
  <si>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</si>
  <si>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</si>
  <si>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</si>
  <si>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</si>
  <si>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</si>
  <si>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</si>
  <si>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</si>
  <si>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</si>
  <si>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</si>
  <si>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</si>
  <si>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</si>
  <si>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</si>
  <si>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</si>
  <si>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</si>
  <si>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</si>
  <si>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</si>
  <si>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</si>
  <si>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</si>
  <si>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</si>
  <si>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</si>
  <si>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</si>
  <si>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</si>
  <si>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</si>
  <si>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</si>
  <si>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</si>
  <si>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</si>
  <si>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</si>
  <si>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</si>
  <si>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</si>
  <si>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</si>
  <si>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</si>
  <si>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</si>
  <si>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</si>
  <si>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</si>
  <si>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</si>
  <si>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</si>
  <si>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</si>
  <si>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</si>
  <si>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</si>
  <si>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</si>
  <si>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</si>
  <si>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</si>
  <si>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</si>
  <si>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</si>
  <si>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</si>
  <si>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</si>
  <si>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</si>
  <si>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</si>
  <si>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</si>
  <si>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</si>
  <si>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</si>
  <si>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</si>
  <si>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</si>
  <si>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</si>
  <si>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</si>
  <si>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</si>
  <si>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</si>
  <si>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</si>
  <si>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</si>
  <si>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</si>
  <si>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</si>
  <si>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</si>
  <si>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</si>
  <si>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</si>
  <si>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</si>
  <si>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</si>
  <si>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</si>
  <si>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</si>
  <si>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</si>
  <si>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</si>
  <si>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</si>
  <si>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</si>
  <si>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</si>
  <si>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</si>
  <si>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</si>
  <si>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</si>
  <si>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</si>
  <si>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</si>
  <si>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</si>
  <si>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</si>
  <si>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</si>
  <si>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</si>
  <si>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</si>
  <si>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</si>
  <si>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</si>
  <si>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</si>
  <si>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</si>
  <si>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</si>
  <si>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</si>
  <si>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</si>
  <si>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</si>
  <si>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</si>
  <si>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</si>
  <si>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</si>
  <si>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</si>
  <si>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</si>
  <si>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</si>
  <si>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</si>
  <si>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</si>
  <si>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</si>
  <si>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</si>
  <si>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</si>
  <si>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</si>
  <si>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</si>
  <si>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</si>
  <si>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</si>
  <si>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</si>
  <si>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</si>
  <si>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</si>
  <si>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</si>
  <si>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</si>
  <si>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</si>
  <si>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</si>
  <si>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</si>
  <si>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</si>
  <si>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</si>
  <si>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</si>
  <si>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</si>
  <si>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</si>
  <si>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</si>
  <si>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</si>
  <si>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</si>
  <si>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</si>
  <si>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</si>
  <si>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</si>
  <si>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</si>
  <si>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</si>
  <si>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</si>
  <si>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</si>
  <si>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</si>
  <si>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</si>
  <si>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</si>
  <si>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</si>
  <si>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</si>
  <si>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</si>
  <si>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</si>
  <si>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</si>
  <si>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</si>
  <si>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</si>
  <si>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</si>
  <si>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</si>
  <si>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</si>
  <si>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</si>
  <si>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</si>
  <si>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</si>
  <si>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</si>
  <si>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</si>
  <si>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</si>
  <si>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</si>
  <si>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</si>
  <si>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</si>
  <si>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</si>
  <si>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</si>
  <si>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</si>
  <si>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</si>
  <si>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</si>
  <si>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</si>
  <si>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</si>
  <si>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</si>
  <si>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</si>
  <si>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</si>
  <si>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</si>
  <si>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</si>
  <si>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</si>
  <si>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</si>
  <si>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</si>
  <si>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</si>
  <si>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</si>
  <si>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</si>
  <si>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</si>
  <si>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</si>
  <si>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</si>
  <si>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</si>
  <si>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</si>
  <si>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</si>
  <si>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</si>
  <si>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</si>
  <si>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</si>
  <si>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</si>
  <si>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</si>
  <si>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</si>
  <si>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</si>
  <si>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</si>
  <si>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</si>
  <si>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</si>
  <si>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</si>
  <si>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</si>
  <si>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</si>
  <si>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</si>
  <si>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</si>
  <si>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</si>
  <si>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</si>
  <si>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</si>
  <si>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</si>
  <si>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</si>
  <si>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</si>
  <si>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</si>
  <si>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</si>
  <si>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</si>
  <si>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</si>
  <si>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</si>
  <si>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</si>
  <si>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</si>
  <si>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</si>
  <si>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</si>
  <si>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</si>
  <si>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</si>
  <si>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</si>
  <si>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</si>
  <si>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</si>
  <si>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</si>
  <si>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</si>
  <si>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</si>
  <si>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</si>
  <si>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</si>
  <si>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</si>
  <si>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</si>
  <si>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</si>
  <si>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</si>
  <si>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</si>
  <si>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</si>
  <si>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</si>
  <si>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</si>
  <si>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</si>
  <si>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</si>
  <si>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</si>
  <si>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</si>
  <si>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</si>
  <si>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</si>
  <si>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</si>
  <si>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</si>
  <si>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</si>
  <si>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</si>
  <si>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</si>
  <si>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</si>
  <si>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</si>
  <si>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</si>
  <si>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</si>
  <si>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</si>
  <si>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</si>
  <si>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</si>
  <si>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</si>
  <si>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</si>
  <si>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</si>
  <si>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</si>
  <si>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</si>
  <si>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</si>
  <si>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</si>
  <si>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</si>
  <si>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</si>
  <si>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</si>
  <si>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</si>
  <si>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</si>
  <si>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</si>
  <si>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</si>
  <si>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</si>
  <si>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</si>
  <si>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</si>
  <si>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</si>
  <si>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</si>
  <si>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</si>
  <si>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</si>
  <si>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</si>
  <si>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</si>
  <si>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</si>
  <si>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</si>
  <si>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</si>
  <si>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</si>
  <si>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</si>
  <si>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</si>
  <si>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</si>
  <si>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</si>
  <si>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</si>
  <si>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</si>
  <si>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</si>
  <si>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</si>
  <si>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</si>
  <si>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</si>
  <si>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</si>
  <si>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</si>
  <si>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</si>
  <si>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</si>
  <si>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</si>
  <si>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</si>
  <si>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</si>
  <si>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</si>
  <si>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</si>
  <si>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</si>
  <si>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</si>
  <si>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</si>
  <si>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</si>
  <si>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</si>
  <si>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</si>
  <si>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</si>
  <si>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</si>
  <si>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</si>
  <si>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</si>
  <si>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</si>
  <si>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</si>
  <si>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</si>
  <si>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</si>
  <si>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</si>
  <si>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</si>
  <si>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</si>
  <si>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</si>
  <si>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</si>
  <si>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</si>
  <si>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</si>
  <si>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</si>
  <si>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</si>
  <si>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</si>
  <si>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</si>
  <si>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</si>
  <si>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</si>
  <si>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</si>
  <si>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</si>
  <si>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</si>
  <si>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</si>
  <si>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</si>
  <si>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</si>
  <si>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</si>
  <si>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</si>
  <si>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</si>
  <si>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</si>
  <si>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</si>
  <si>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</si>
  <si>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</si>
  <si>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</si>
  <si>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</si>
  <si>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</si>
  <si>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</si>
  <si>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</si>
  <si>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</si>
  <si>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</si>
  <si>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</si>
  <si>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</si>
  <si>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</si>
  <si>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</si>
  <si>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</si>
  <si>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</si>
  <si>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</si>
  <si>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</si>
  <si>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</si>
  <si>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</si>
  <si>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</si>
  <si>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</si>
  <si>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</si>
  <si>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</si>
  <si>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</si>
  <si>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</si>
  <si>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</si>
  <si>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</si>
  <si>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</si>
  <si>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</si>
  <si>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</si>
  <si>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</si>
  <si>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</si>
  <si>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</si>
  <si>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</si>
  <si>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</si>
  <si>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</si>
  <si>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</si>
  <si>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</si>
  <si>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</si>
  <si>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</si>
  <si>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</si>
  <si>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</si>
  <si>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</si>
  <si>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</si>
  <si>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</si>
  <si>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</si>
  <si>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</si>
  <si>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</si>
  <si>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</si>
  <si>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</si>
  <si>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</si>
  <si>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</si>
  <si>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</si>
  <si>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</si>
  <si>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</si>
  <si>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</si>
  <si>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</si>
  <si>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</si>
  <si>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</si>
  <si>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</si>
  <si>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</si>
  <si>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</si>
  <si>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</si>
  <si>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</si>
  <si>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</si>
  <si>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</si>
  <si>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</si>
  <si>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</si>
  <si>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</si>
  <si>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</si>
  <si>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</si>
  <si>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</si>
  <si>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</si>
  <si>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</si>
  <si>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</si>
  <si>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</si>
  <si>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</si>
  <si>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</si>
  <si>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</si>
  <si>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</si>
  <si>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</si>
  <si>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</si>
  <si>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</si>
  <si>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</si>
  <si>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</si>
  <si>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</si>
  <si>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</si>
  <si>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</si>
  <si>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</si>
  <si>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</si>
  <si>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</si>
  <si>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</si>
  <si>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</si>
  <si>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</si>
  <si>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</si>
  <si>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</si>
  <si>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</si>
  <si>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</si>
  <si>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</si>
  <si>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</si>
  <si>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</si>
  <si>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</si>
  <si>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</si>
  <si>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</si>
  <si>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</si>
  <si>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</si>
  <si>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</si>
  <si>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</si>
  <si>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</si>
  <si>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</si>
  <si>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</si>
  <si>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</si>
  <si>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</si>
  <si>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</si>
  <si>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</si>
  <si>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</si>
  <si>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</si>
  <si>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</si>
  <si>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</si>
  <si>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</si>
  <si>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</si>
  <si>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</si>
  <si>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</si>
  <si>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</si>
  <si>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</si>
  <si>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</si>
  <si>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</si>
  <si>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</si>
  <si>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</si>
  <si>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</si>
  <si>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</si>
  <si>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</si>
  <si>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</si>
  <si>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</si>
  <si>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</si>
  <si>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</si>
  <si>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</si>
  <si>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</si>
  <si>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</si>
  <si>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</si>
  <si>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</si>
  <si>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</si>
  <si>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</si>
  <si>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</si>
  <si>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</si>
  <si>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</si>
  <si>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</si>
  <si>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</si>
  <si>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</si>
  <si>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</si>
  <si>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</si>
  <si>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</si>
  <si>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</si>
  <si>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</si>
  <si>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</si>
  <si>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</si>
  <si>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</si>
  <si>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</si>
  <si>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</si>
  <si>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</si>
  <si>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</si>
  <si>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</si>
  <si>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</si>
  <si>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</si>
  <si>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</si>
  <si>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</si>
  <si>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</si>
  <si>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</si>
  <si>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</si>
  <si>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</si>
  <si>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</si>
  <si>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</si>
  <si>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</si>
  <si>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</si>
  <si>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</si>
  <si>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</si>
  <si>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</si>
  <si>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</si>
  <si>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</si>
  <si>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</si>
  <si>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</si>
  <si>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</si>
  <si>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</si>
  <si>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</si>
  <si>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</si>
  <si>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</si>
  <si>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</si>
  <si>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</si>
  <si>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</si>
  <si>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</si>
  <si>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</si>
  <si>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</si>
  <si>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</si>
  <si>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</si>
  <si>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</si>
  <si>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</si>
  <si>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</si>
  <si>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</si>
  <si>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</si>
  <si>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</si>
  <si>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</si>
  <si>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</si>
  <si>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</si>
  <si>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</si>
  <si>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</si>
  <si>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</si>
  <si>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</si>
  <si>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</si>
  <si>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</si>
  <si>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</si>
  <si>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</si>
  <si>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</si>
  <si>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</si>
  <si>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</si>
  <si>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</si>
  <si>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</si>
  <si>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</si>
  <si>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</si>
  <si>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</si>
  <si>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</si>
  <si>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</si>
  <si>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</si>
  <si>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</si>
  <si>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</si>
  <si>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</si>
  <si>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</si>
  <si>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</si>
  <si>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</si>
  <si>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</si>
  <si>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</si>
  <si>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</si>
  <si>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</si>
  <si>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</si>
  <si>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</si>
  <si>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</si>
  <si>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</si>
  <si>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</si>
  <si>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</si>
  <si>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</si>
  <si>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</si>
  <si>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</si>
  <si>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</si>
  <si>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</si>
  <si>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</si>
  <si>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</si>
  <si>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</si>
  <si>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</si>
  <si>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</si>
  <si>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</si>
  <si>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</si>
  <si>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</si>
  <si>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</si>
  <si>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</si>
  <si>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</si>
  <si>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</si>
  <si>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</si>
  <si>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</si>
  <si>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</si>
  <si>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</si>
  <si>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</si>
  <si>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</si>
  <si>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</si>
  <si>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</si>
  <si>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</si>
  <si>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</si>
  <si>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</si>
  <si>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</si>
  <si>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</si>
  <si>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</si>
  <si>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</si>
  <si>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</si>
  <si>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</si>
  <si>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</si>
  <si>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</si>
  <si>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</si>
  <si>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</si>
  <si>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</si>
  <si>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</si>
  <si>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</si>
  <si>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</si>
  <si>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</si>
  <si>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</si>
  <si>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</si>
  <si>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</si>
  <si>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</si>
  <si>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</si>
  <si>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</si>
  <si>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</si>
  <si>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</si>
  <si>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</si>
  <si>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</si>
  <si>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</si>
  <si>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</si>
  <si>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</si>
  <si>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</si>
  <si>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</si>
  <si>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</si>
  <si>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</si>
  <si>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</si>
  <si>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</si>
  <si>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</si>
  <si>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</si>
  <si>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</si>
  <si>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</si>
  <si>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</si>
  <si>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</si>
  <si>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</si>
  <si>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</si>
  <si>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</si>
  <si>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</si>
  <si>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</si>
  <si>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</si>
  <si>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</si>
  <si>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</si>
  <si>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</si>
  <si>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</si>
  <si>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</si>
  <si>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</si>
  <si>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</si>
  <si>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</si>
  <si>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</si>
  <si>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</si>
  <si>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</si>
  <si>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</si>
  <si>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</si>
  <si>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</si>
  <si>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</si>
  <si>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</si>
  <si>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</si>
  <si>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</si>
  <si>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</si>
  <si>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</si>
  <si>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</si>
  <si>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</si>
  <si>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</si>
  <si>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</si>
  <si>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</si>
  <si>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</si>
  <si>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</si>
  <si>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</si>
  <si>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</si>
  <si>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</si>
  <si>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</si>
  <si>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</si>
  <si>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</si>
  <si>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</si>
  <si>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</si>
  <si>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</si>
  <si>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</si>
  <si>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</si>
  <si>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</si>
  <si>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</si>
  <si>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</si>
  <si>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</si>
  <si>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</si>
  <si>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</si>
  <si>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</si>
  <si>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</si>
  <si>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</si>
  <si>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</si>
  <si>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</si>
  <si>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</si>
  <si>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</si>
  <si>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</si>
  <si>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</si>
  <si>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</si>
  <si>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</si>
  <si>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</si>
  <si>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</si>
  <si>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</si>
  <si>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</si>
  <si>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</si>
  <si>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</si>
  <si>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</si>
  <si>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</si>
  <si>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</si>
  <si>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</si>
  <si>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</si>
  <si>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</si>
  <si>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</si>
  <si>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</si>
  <si>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</si>
  <si>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</si>
  <si>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</si>
  <si>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</si>
  <si>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</si>
  <si>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</si>
  <si>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</si>
  <si>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</si>
  <si>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</si>
  <si>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</si>
  <si>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</si>
  <si>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</si>
  <si>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</si>
  <si>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</si>
  <si>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</si>
  <si>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</si>
  <si>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</si>
  <si>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</si>
  <si>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</si>
  <si>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</si>
  <si>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</si>
  <si>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</si>
  <si>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</si>
  <si>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</si>
  <si>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</si>
  <si>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</si>
  <si>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</si>
  <si>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</si>
  <si>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</si>
  <si>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</si>
  <si>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</si>
  <si>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</si>
  <si>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</si>
  <si>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</si>
  <si>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</si>
  <si>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</si>
  <si>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</si>
  <si>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</si>
  <si>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</si>
  <si>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</si>
  <si>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</si>
  <si>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</si>
  <si>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</si>
  <si>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</si>
  <si>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</si>
  <si>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</si>
  <si>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</si>
  <si>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</si>
  <si>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</si>
  <si>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</si>
  <si>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</si>
  <si>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</si>
  <si>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</si>
  <si>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</si>
  <si>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</si>
  <si>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</si>
  <si>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</si>
  <si>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</si>
  <si>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</si>
  <si>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</si>
  <si>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</si>
  <si>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</si>
  <si>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</si>
  <si>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</si>
  <si>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</si>
  <si>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</si>
  <si>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</si>
  <si>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</si>
  <si>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</si>
  <si>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</si>
  <si>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</si>
  <si>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</si>
  <si>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</si>
  <si>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</si>
  <si>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</si>
  <si>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</si>
  <si>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</si>
  <si>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</si>
  <si>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</si>
  <si>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</si>
  <si>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</si>
  <si>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</si>
  <si>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</si>
  <si>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</si>
  <si>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</si>
  <si>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</si>
  <si>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</si>
  <si>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</si>
  <si>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</si>
  <si>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</si>
  <si>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</si>
  <si>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</si>
  <si>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</si>
  <si>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</si>
  <si>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</si>
  <si>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</si>
  <si>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</si>
  <si>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</si>
  <si>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</si>
  <si>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</si>
  <si>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</si>
  <si>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</si>
  <si>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</si>
  <si>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</si>
  <si>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</si>
  <si>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</si>
  <si>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</si>
  <si>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</si>
  <si>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</si>
  <si>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</si>
  <si>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</si>
  <si>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</si>
  <si>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</si>
  <si>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</si>
  <si>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</si>
  <si>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</si>
  <si>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</si>
  <si>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</si>
  <si>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</si>
  <si>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</si>
  <si>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</si>
  <si>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</si>
  <si>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</si>
  <si>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</si>
  <si>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</si>
  <si>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</si>
  <si>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</si>
  <si>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</si>
  <si>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</si>
  <si>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</si>
  <si>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</si>
  <si>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</si>
  <si>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</si>
  <si>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</si>
  <si>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</si>
  <si>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</si>
  <si>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</si>
  <si>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</si>
  <si>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</si>
  <si>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</si>
  <si>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</si>
  <si>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</si>
  <si>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</si>
  <si>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</si>
  <si>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</si>
  <si>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</si>
  <si>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</si>
  <si>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</si>
  <si>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</si>
  <si>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</si>
  <si>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</si>
  <si>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</si>
  <si>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</si>
  <si>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</si>
  <si>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</si>
  <si>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</si>
  <si>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</si>
  <si>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</si>
  <si>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</si>
  <si>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</si>
  <si>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</si>
  <si>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</si>
  <si>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</si>
  <si>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</si>
  <si>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</si>
  <si>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</si>
  <si>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</si>
  <si>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</si>
  <si>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</si>
  <si>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</si>
  <si>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</si>
  <si>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</si>
  <si>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</si>
  <si>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</si>
  <si>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</si>
  <si>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</si>
  <si>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</si>
  <si>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</si>
  <si>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</si>
  <si>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</si>
  <si>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</si>
  <si>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</si>
  <si>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</si>
  <si>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</si>
  <si>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</si>
  <si>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</si>
  <si>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</si>
  <si>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</si>
  <si>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</si>
  <si>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</si>
  <si>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</si>
  <si>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</si>
  <si>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</si>
  <si>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</si>
  <si>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</si>
  <si>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</si>
  <si>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</si>
  <si>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</si>
  <si>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</si>
  <si>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</si>
  <si>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</si>
  <si>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</si>
  <si>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</si>
  <si>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</si>
  <si>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</si>
  <si>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</si>
  <si>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</si>
  <si>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</si>
  <si>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</si>
  <si>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</si>
  <si>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</si>
  <si>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</si>
  <si>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</si>
  <si>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</si>
  <si>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</si>
  <si>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</si>
  <si>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</si>
  <si>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</si>
  <si>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</si>
  <si>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</si>
  <si>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</si>
  <si>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</si>
  <si>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</si>
  <si>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</si>
  <si>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</si>
  <si>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</si>
  <si>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</si>
  <si>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</si>
  <si>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</si>
  <si>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</si>
  <si>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</si>
  <si>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</si>
  <si>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</si>
  <si>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</si>
  <si>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</si>
  <si>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</si>
  <si>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</si>
  <si>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</si>
  <si>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</si>
  <si>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</si>
  <si>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</si>
  <si>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</si>
  <si>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</si>
  <si>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</si>
  <si>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</si>
  <si>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</si>
  <si>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</si>
  <si>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</si>
  <si>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</si>
  <si>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</si>
  <si>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</si>
  <si>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</si>
  <si>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</si>
  <si>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</si>
  <si>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</si>
  <si>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</si>
  <si>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</si>
  <si>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</si>
  <si>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</si>
  <si>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</si>
  <si>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</si>
  <si>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</si>
  <si>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</si>
  <si>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</si>
  <si>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</si>
  <si>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</si>
  <si>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</si>
  <si>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</si>
  <si>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</si>
  <si>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</si>
  <si>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</si>
  <si>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</si>
  <si>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</si>
  <si>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</si>
  <si>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</si>
  <si>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</si>
  <si>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</si>
  <si>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</si>
  <si>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</si>
  <si>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</si>
  <si>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</si>
  <si>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</si>
  <si>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</si>
  <si>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</si>
  <si>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</si>
  <si>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</si>
  <si>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</si>
  <si>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</si>
  <si>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</si>
  <si>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</si>
  <si>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</si>
  <si>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</si>
  <si>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</si>
  <si>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</si>
  <si>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</si>
  <si>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</si>
  <si>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</si>
  <si>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</si>
  <si>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</si>
  <si>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</si>
  <si>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</si>
  <si>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</si>
  <si>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</si>
  <si>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</si>
  <si>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</si>
  <si>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</si>
  <si>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</si>
  <si>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</si>
  <si>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</si>
  <si>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</si>
  <si>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</si>
  <si>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</si>
  <si>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</si>
  <si>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</si>
  <si>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</si>
  <si>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</si>
  <si>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</si>
  <si>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</si>
  <si>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</si>
  <si>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</si>
  <si>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</si>
  <si>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</si>
  <si>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</si>
  <si>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</si>
  <si>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</si>
  <si>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</si>
  <si>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</si>
  <si>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</si>
  <si>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</si>
  <si>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</si>
  <si>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</si>
  <si>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</si>
  <si>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</si>
  <si>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</si>
  <si>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</si>
  <si>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</si>
  <si>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</si>
  <si>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</si>
  <si>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</si>
  <si>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</si>
  <si>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</si>
  <si>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</si>
  <si>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</si>
  <si>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</si>
  <si>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</si>
  <si>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</si>
  <si>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</si>
  <si>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</si>
  <si>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</si>
  <si>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</si>
  <si>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</si>
  <si>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</si>
  <si>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</si>
  <si>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</si>
  <si>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</si>
  <si>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</si>
  <si>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</si>
  <si>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</si>
  <si>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</si>
  <si>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</si>
  <si>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</si>
  <si>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</si>
  <si>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</si>
  <si>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</si>
  <si>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</si>
  <si>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</si>
  <si>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</si>
  <si>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</si>
  <si>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</si>
  <si>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</si>
  <si>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</si>
  <si>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</si>
  <si>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</si>
  <si>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</si>
  <si>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</si>
  <si>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</si>
  <si>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</si>
  <si>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</si>
  <si>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</si>
  <si>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</si>
  <si>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</si>
  <si>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</si>
  <si>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</si>
  <si>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</si>
  <si>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</si>
  <si>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</si>
  <si>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</si>
  <si>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</si>
  <si>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</si>
  <si>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</si>
  <si>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</si>
  <si>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</si>
  <si>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</si>
  <si>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</si>
  <si>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</si>
  <si>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</si>
  <si>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</si>
  <si>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</si>
  <si>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</si>
  <si>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</si>
  <si>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</si>
  <si>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</si>
  <si>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</si>
  <si>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</si>
  <si>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</si>
  <si>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</si>
  <si>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</si>
  <si>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</si>
  <si>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</si>
  <si>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</si>
  <si>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</si>
  <si>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</si>
  <si>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</si>
  <si>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</si>
  <si>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</si>
  <si>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</si>
  <si>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</si>
  <si>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</si>
  <si>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</si>
  <si>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</si>
  <si>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</si>
  <si>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</si>
  <si>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</si>
  <si>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</si>
  <si>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</si>
  <si>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</si>
  <si>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</si>
  <si>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</si>
  <si>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</si>
  <si>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</si>
  <si>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</si>
  <si>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</si>
  <si>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</si>
  <si>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</si>
  <si>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</si>
  <si>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</si>
  <si>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</si>
  <si>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</si>
  <si>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</si>
  <si>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</si>
  <si>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</si>
  <si>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</si>
  <si>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</si>
  <si>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</si>
  <si>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</si>
  <si>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</si>
  <si>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</si>
  <si>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</si>
  <si>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</si>
  <si>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</si>
  <si>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</si>
  <si>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</si>
  <si>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</si>
  <si>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</si>
  <si>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</si>
  <si>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</si>
  <si>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</si>
  <si>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</si>
  <si>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</si>
  <si>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</si>
  <si>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</si>
  <si>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</si>
  <si>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</si>
  <si>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</si>
  <si>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</si>
  <si>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</si>
  <si>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</si>
  <si>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</si>
  <si>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</si>
  <si>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</si>
  <si>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</si>
  <si>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</si>
  <si>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</si>
  <si>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</si>
  <si>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</si>
  <si>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</si>
  <si>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</si>
  <si>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</si>
  <si>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</si>
  <si>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</si>
  <si>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</si>
  <si>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</si>
  <si>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</si>
  <si>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</si>
  <si>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</si>
  <si>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</si>
  <si>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</si>
  <si>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</si>
  <si>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</si>
  <si>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</si>
  <si>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</si>
  <si>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</si>
  <si>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</si>
  <si>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</si>
  <si>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</si>
  <si>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</si>
  <si>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</si>
  <si>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</si>
  <si>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</si>
  <si>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</si>
  <si>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</si>
  <si>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</si>
  <si>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</si>
  <si>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</si>
  <si>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</si>
  <si>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</si>
  <si>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</si>
  <si>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</si>
  <si>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</si>
  <si>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</si>
  <si>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</si>
  <si>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</si>
  <si>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</si>
  <si>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</si>
  <si>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</si>
  <si>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</si>
  <si>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</si>
  <si>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</si>
  <si>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</si>
  <si>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</si>
  <si>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</si>
  <si>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</si>
  <si>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</si>
  <si>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</si>
  <si>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</si>
  <si>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</si>
  <si>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</si>
  <si>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</si>
  <si>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</si>
  <si>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</si>
  <si>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Average of Age</t>
  </si>
  <si>
    <t>Active employee</t>
  </si>
  <si>
    <t>Sum of CF_attrition count</t>
  </si>
  <si>
    <t>Attrition rate</t>
  </si>
  <si>
    <t>total emp</t>
  </si>
  <si>
    <t>attrition</t>
  </si>
  <si>
    <t>Average of Job Satisfaction</t>
  </si>
  <si>
    <t>rating</t>
  </si>
  <si>
    <t>bal rating</t>
  </si>
  <si>
    <t>Row Labels</t>
  </si>
  <si>
    <t>Grand Total</t>
  </si>
  <si>
    <t>Sum of Employee Count</t>
  </si>
  <si>
    <t>JOB ROLE</t>
  </si>
  <si>
    <t>ATTRITION</t>
  </si>
  <si>
    <t>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</si>
</sst>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gradientFill degree="90">
          <stop position="0">
            <color theme="2" tint="-0.49803155613879818"/>
          </stop>
          <stop position="1">
            <color theme="8" tint="0.40000610370189521"/>
          </stop>
        </gradientFill>
      </fill>
    </dxf>
    <dxf>
      <fill>
        <gradientFill degree="90">
          <stop position="0">
            <color theme="1" tint="0.25098422193060094"/>
          </stop>
          <stop position="1">
            <color theme="4"/>
          </stop>
        </gradientFill>
      </fill>
    </dxf>
  </dxfs>
  <tableStyles count="1" defaultTableStyle="TableStyleMedium2" defaultPivotStyle="PivotStyleLight16">
    <tableStyle name="Slicer Style 1" pivot="0" table="0" count="4" xr9:uid="{68B0D69B-18BC-46AB-8A6C-591DCB095665}">
      <tableStyleElement type="wholeTable" dxfId="1"/>
      <tableStyleElement type="headerRow" dxfId="0"/>
    </tableStyle>
  </tableStyles>
  <extLst>
    <ext xmlns:x14="http://schemas.microsoft.com/office/spreadsheetml/2009/9/main" uri="{46F421CA-312F-682f-3DD2-61675219B42D}">
      <x14:dxfs count="2">
        <dxf>
          <fill>
            <gradientFill degree="90">
              <stop position="0">
                <color theme="2"/>
              </stop>
              <stop position="1">
                <color theme="8" tint="0.59999389629810485"/>
              </stop>
            </gradientFill>
          </fill>
        </dxf>
        <dxf>
          <fill>
            <gradientFill degree="90">
              <stop position="0">
                <color theme="2"/>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919171301201141"/>
          <c:y val="1.127194215192784E-2"/>
          <c:w val="0.41070804116554549"/>
          <c:h val="0.81025244653397044"/>
        </c:manualLayout>
      </c:layout>
      <c:doughnutChart>
        <c:varyColors val="1"/>
        <c:ser>
          <c:idx val="0"/>
          <c:order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c:spPr>
          <c:dPt>
            <c:idx val="0"/>
            <c:bubble3D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1-F49B-4DFC-B347-C194D2FB0F17}"/>
              </c:ext>
            </c:extLst>
          </c:dPt>
          <c:dPt>
            <c:idx val="1"/>
            <c:bubble3D val="0"/>
            <c:spPr>
              <a:gradFill flip="none" rotWithShape="1">
                <a:gsLst>
                  <a:gs pos="46000">
                    <a:schemeClr val="accent4">
                      <a:lumMod val="50000"/>
                    </a:schemeClr>
                  </a:gs>
                  <a:gs pos="100000">
                    <a:schemeClr val="accent4">
                      <a:lumMod val="60000"/>
                    </a:schemeClr>
                  </a:gs>
                </a:gsLst>
                <a:path path="circle">
                  <a:fillToRect l="50000" t="50000" r="50000" b="50000"/>
                </a:path>
                <a:tileRect/>
              </a:gradFill>
              <a:ln w="19050">
                <a:noFill/>
              </a:ln>
              <a:effectLst/>
            </c:spPr>
            <c:extLst>
              <c:ext xmlns:c16="http://schemas.microsoft.com/office/drawing/2014/chart" uri="{C3380CC4-5D6E-409C-BE32-E72D297353CC}">
                <c16:uniqueId val="{00000003-F49B-4DFC-B347-C194D2FB0F17}"/>
              </c:ext>
            </c:extLst>
          </c:dPt>
          <c:val>
            <c:numRef>
              <c:f>RATING!$C$6:$C$7</c:f>
              <c:numCache>
                <c:formatCode>General</c:formatCode>
                <c:ptCount val="2"/>
                <c:pt idx="0">
                  <c:v>0.53558394160583944</c:v>
                </c:pt>
                <c:pt idx="1">
                  <c:v>0.46441605839416056</c:v>
                </c:pt>
              </c:numCache>
            </c:numRef>
          </c:val>
          <c:extLst>
            <c:ext xmlns:c16="http://schemas.microsoft.com/office/drawing/2014/chart" uri="{C3380CC4-5D6E-409C-BE32-E72D297353CC}">
              <c16:uniqueId val="{00000004-F49B-4DFC-B347-C194D2FB0F1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882</a:t>
            </a:r>
          </a:p>
        </c:rich>
      </c:tx>
      <c:layout>
        <c:manualLayout>
          <c:xMode val="edge"/>
          <c:yMode val="edge"/>
          <c:x val="0.46467682808544081"/>
          <c:y val="0.74260848539634094"/>
        </c:manualLayout>
      </c:layout>
      <c:overlay val="0"/>
    </c:title>
    <c:autoTitleDeleted val="0"/>
    <c:plotArea>
      <c:layout>
        <c:manualLayout>
          <c:layoutTarget val="inner"/>
          <c:xMode val="edge"/>
          <c:yMode val="edge"/>
          <c:x val="0.23217385210545932"/>
          <c:y val="0.20480554024062067"/>
          <c:w val="0.71623195853777188"/>
          <c:h val="0.55071837891110031"/>
        </c:manualLayout>
      </c:layout>
      <c:pieChart>
        <c:varyColors val="1"/>
        <c:ser>
          <c:idx val="8"/>
          <c:order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a:noFill/>
            </a:ln>
          </c:spPr>
          <c:dPt>
            <c:idx val="0"/>
            <c:bubble3D val="0"/>
            <c:explosion val="7"/>
            <c:spPr>
              <a:solidFill>
                <a:schemeClr val="bg1">
                  <a:lumMod val="85000"/>
                </a:schemeClr>
              </a:solidFill>
              <a:ln>
                <a:noFill/>
              </a:ln>
            </c:spPr>
            <c:extLst>
              <c:ext xmlns:c16="http://schemas.microsoft.com/office/drawing/2014/chart" uri="{C3380CC4-5D6E-409C-BE32-E72D297353CC}">
                <c16:uniqueId val="{000000DF-002A-43CD-A138-2135ED67472A}"/>
              </c:ext>
            </c:extLst>
          </c:dPt>
          <c:dPt>
            <c:idx val="1"/>
            <c:bubble3D val="0"/>
            <c:spPr>
              <a:gradFill>
                <a:gsLst>
                  <a:gs pos="0">
                    <a:schemeClr val="accent6">
                      <a:lumMod val="20000"/>
                      <a:lumOff val="80000"/>
                    </a:schemeClr>
                  </a:gs>
                  <a:gs pos="54000">
                    <a:schemeClr val="accent6">
                      <a:lumMod val="75000"/>
                    </a:schemeClr>
                  </a:gs>
                  <a:gs pos="23850">
                    <a:schemeClr val="accent6">
                      <a:lumMod val="40000"/>
                      <a:lumOff val="60000"/>
                    </a:schemeClr>
                  </a:gs>
                  <a:gs pos="73000">
                    <a:schemeClr val="accent6">
                      <a:lumMod val="60000"/>
                      <a:lumOff val="40000"/>
                    </a:schemeClr>
                  </a:gs>
                </a:gsLst>
                <a:path path="circle">
                  <a:fillToRect l="100000" t="100000"/>
                </a:path>
              </a:gradFill>
              <a:ln>
                <a:noFill/>
              </a:ln>
            </c:spPr>
            <c:extLst>
              <c:ext xmlns:c16="http://schemas.microsoft.com/office/drawing/2014/chart" uri="{C3380CC4-5D6E-409C-BE32-E72D297353CC}">
                <c16:uniqueId val="{000000E0-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DE-002A-43CD-A138-2135ED67472A}"/>
            </c:ext>
          </c:extLst>
        </c:ser>
        <c:ser>
          <c:idx val="9"/>
          <c:order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E2-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E3-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E1-002A-43CD-A138-2135ED67472A}"/>
            </c:ext>
          </c:extLst>
        </c:ser>
        <c:ser>
          <c:idx val="10"/>
          <c:order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E5-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E4-002A-43CD-A138-2135ED67472A}"/>
            </c:ext>
          </c:extLst>
        </c:ser>
        <c:ser>
          <c:idx val="11"/>
          <c:order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E7-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E8-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E6-002A-43CD-A138-2135ED67472A}"/>
            </c:ext>
          </c:extLst>
        </c:ser>
        <c:ser>
          <c:idx val="12"/>
          <c:order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EA-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E9-002A-43CD-A138-2135ED67472A}"/>
            </c:ext>
          </c:extLst>
        </c:ser>
        <c:ser>
          <c:idx val="13"/>
          <c:order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EC-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ED-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EB-002A-43CD-A138-2135ED67472A}"/>
            </c:ext>
          </c:extLst>
        </c:ser>
        <c:ser>
          <c:idx val="14"/>
          <c:order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EF-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EE-002A-43CD-A138-2135ED67472A}"/>
            </c:ext>
          </c:extLst>
        </c:ser>
        <c:ser>
          <c:idx val="15"/>
          <c:order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F1-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F2-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F0-002A-43CD-A138-2135ED67472A}"/>
            </c:ext>
          </c:extLst>
        </c:ser>
        <c:ser>
          <c:idx val="16"/>
          <c:order val="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a:noFill/>
            </a:ln>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a:noFill/>
              </a:ln>
            </c:spPr>
            <c:extLst>
              <c:ext xmlns:c16="http://schemas.microsoft.com/office/drawing/2014/chart" uri="{C3380CC4-5D6E-409C-BE32-E72D297353CC}">
                <c16:uniqueId val="{000000F4-002A-43CD-A138-2135ED67472A}"/>
              </c:ext>
            </c:extLst>
          </c:dPt>
          <c:dPt>
            <c:idx val="1"/>
            <c:bubble3D val="0"/>
            <c:spPr>
              <a:solidFill>
                <a:schemeClr val="accent6">
                  <a:lumMod val="60000"/>
                  <a:lumOff val="40000"/>
                </a:schemeClr>
              </a:solidFill>
              <a:ln>
                <a:noFill/>
              </a:ln>
            </c:spPr>
            <c:extLst>
              <c:ext xmlns:c16="http://schemas.microsoft.com/office/drawing/2014/chart" uri="{C3380CC4-5D6E-409C-BE32-E72D297353CC}">
                <c16:uniqueId val="{000000F5-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F3-002A-43CD-A138-2135ED67472A}"/>
            </c:ext>
          </c:extLst>
        </c:ser>
        <c:ser>
          <c:idx val="17"/>
          <c:order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F7-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F8-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F6-002A-43CD-A138-2135ED67472A}"/>
            </c:ext>
          </c:extLst>
        </c:ser>
        <c:ser>
          <c:idx val="18"/>
          <c:order val="1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FA-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F9-002A-43CD-A138-2135ED67472A}"/>
            </c:ext>
          </c:extLst>
        </c:ser>
        <c:ser>
          <c:idx val="19"/>
          <c:order val="1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FC-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FD-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FB-002A-43CD-A138-2135ED67472A}"/>
            </c:ext>
          </c:extLst>
        </c:ser>
        <c:ser>
          <c:idx val="20"/>
          <c:order val="1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FF-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FE-002A-43CD-A138-2135ED67472A}"/>
            </c:ext>
          </c:extLst>
        </c:ser>
        <c:ser>
          <c:idx val="21"/>
          <c:order val="1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101-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102-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00-002A-43CD-A138-2135ED67472A}"/>
            </c:ext>
          </c:extLst>
        </c:ser>
        <c:ser>
          <c:idx val="22"/>
          <c:order val="1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104-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03-002A-43CD-A138-2135ED67472A}"/>
            </c:ext>
          </c:extLst>
        </c:ser>
        <c:ser>
          <c:idx val="23"/>
          <c:order val="1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106-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107-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05-002A-43CD-A138-2135ED67472A}"/>
            </c:ext>
          </c:extLst>
        </c:ser>
        <c:ser>
          <c:idx val="24"/>
          <c:order val="1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a:noFill/>
            </a:ln>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a:noFill/>
              </a:ln>
            </c:spPr>
            <c:extLst>
              <c:ext xmlns:c16="http://schemas.microsoft.com/office/drawing/2014/chart" uri="{C3380CC4-5D6E-409C-BE32-E72D297353CC}">
                <c16:uniqueId val="{00000109-002A-43CD-A138-2135ED67472A}"/>
              </c:ext>
            </c:extLst>
          </c:dPt>
          <c:dPt>
            <c:idx val="1"/>
            <c:bubble3D val="0"/>
            <c:spPr>
              <a:solidFill>
                <a:schemeClr val="accent6">
                  <a:lumMod val="60000"/>
                  <a:lumOff val="40000"/>
                </a:schemeClr>
              </a:solidFill>
              <a:ln>
                <a:noFill/>
              </a:ln>
            </c:spPr>
            <c:extLst>
              <c:ext xmlns:c16="http://schemas.microsoft.com/office/drawing/2014/chart" uri="{C3380CC4-5D6E-409C-BE32-E72D297353CC}">
                <c16:uniqueId val="{0000010A-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08-002A-43CD-A138-2135ED67472A}"/>
            </c:ext>
          </c:extLst>
        </c:ser>
        <c:ser>
          <c:idx val="25"/>
          <c:order val="1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10C-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10D-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0B-002A-43CD-A138-2135ED67472A}"/>
            </c:ext>
          </c:extLst>
        </c:ser>
        <c:ser>
          <c:idx val="26"/>
          <c:order val="1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10F-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0E-002A-43CD-A138-2135ED67472A}"/>
            </c:ext>
          </c:extLst>
        </c:ser>
        <c:ser>
          <c:idx val="27"/>
          <c:order val="1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111-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112-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10-002A-43CD-A138-2135ED67472A}"/>
            </c:ext>
          </c:extLst>
        </c:ser>
        <c:ser>
          <c:idx val="28"/>
          <c:order val="2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114-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13-002A-43CD-A138-2135ED67472A}"/>
            </c:ext>
          </c:extLst>
        </c:ser>
        <c:ser>
          <c:idx val="29"/>
          <c:order val="2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116-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117-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15-002A-43CD-A138-2135ED67472A}"/>
            </c:ext>
          </c:extLst>
        </c:ser>
        <c:ser>
          <c:idx val="30"/>
          <c:order val="2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119-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18-002A-43CD-A138-2135ED67472A}"/>
            </c:ext>
          </c:extLst>
        </c:ser>
        <c:ser>
          <c:idx val="31"/>
          <c:order val="2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11B-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11C-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11A-002A-43CD-A138-2135ED67472A}"/>
            </c:ext>
          </c:extLst>
        </c:ser>
        <c:ser>
          <c:idx val="4"/>
          <c:order val="2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a:noFill/>
            </a:ln>
          </c:spPr>
          <c:dPt>
            <c:idx val="0"/>
            <c:bubble3D val="0"/>
            <c:explosion val="7"/>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a:noFill/>
              </a:ln>
            </c:spPr>
            <c:extLst>
              <c:ext xmlns:c16="http://schemas.microsoft.com/office/drawing/2014/chart" uri="{C3380CC4-5D6E-409C-BE32-E72D297353CC}">
                <c16:uniqueId val="{000000B6-002A-43CD-A138-2135ED67472A}"/>
              </c:ext>
            </c:extLst>
          </c:dPt>
          <c:dPt>
            <c:idx val="1"/>
            <c:bubble3D val="0"/>
            <c:spPr>
              <a:solidFill>
                <a:schemeClr val="accent6">
                  <a:lumMod val="60000"/>
                  <a:lumOff val="40000"/>
                </a:schemeClr>
              </a:solidFill>
              <a:ln>
                <a:noFill/>
              </a:ln>
            </c:spPr>
            <c:extLst>
              <c:ext xmlns:c16="http://schemas.microsoft.com/office/drawing/2014/chart" uri="{C3380CC4-5D6E-409C-BE32-E72D297353CC}">
                <c16:uniqueId val="{000000B8-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B9-002A-43CD-A138-2135ED67472A}"/>
            </c:ext>
          </c:extLst>
        </c:ser>
        <c:ser>
          <c:idx val="5"/>
          <c:order val="2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BC-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BE-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BF-002A-43CD-A138-2135ED67472A}"/>
            </c:ext>
          </c:extLst>
        </c:ser>
        <c:ser>
          <c:idx val="6"/>
          <c:order val="2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C2-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C3-002A-43CD-A138-2135ED67472A}"/>
            </c:ext>
          </c:extLst>
        </c:ser>
        <c:ser>
          <c:idx val="7"/>
          <c:order val="2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C6-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C8-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C9-002A-43CD-A138-2135ED67472A}"/>
            </c:ext>
          </c:extLst>
        </c:ser>
        <c:ser>
          <c:idx val="2"/>
          <c:order val="2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CC-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CD-002A-43CD-A138-2135ED67472A}"/>
            </c:ext>
          </c:extLst>
        </c:ser>
        <c:ser>
          <c:idx val="3"/>
          <c:order val="2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D0-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D2-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D3-002A-43CD-A138-2135ED67472A}"/>
            </c:ext>
          </c:extLst>
        </c:ser>
        <c:ser>
          <c:idx val="1"/>
          <c:order val="3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D6-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D7-002A-43CD-A138-2135ED67472A}"/>
            </c:ext>
          </c:extLst>
        </c:ser>
        <c:ser>
          <c:idx val="0"/>
          <c:order val="3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DA-002A-43CD-A138-2135ED67472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DC-002A-43CD-A138-2135ED67472A}"/>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DD-002A-43CD-A138-2135ED67472A}"/>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588</a:t>
            </a:r>
          </a:p>
        </c:rich>
      </c:tx>
      <c:layout>
        <c:manualLayout>
          <c:xMode val="edge"/>
          <c:yMode val="edge"/>
          <c:x val="0.42702680727898895"/>
          <c:y val="0.72196645181952845"/>
        </c:manualLayout>
      </c:layout>
      <c:overlay val="0"/>
    </c:title>
    <c:autoTitleDeleted val="0"/>
    <c:plotArea>
      <c:layout>
        <c:manualLayout>
          <c:layoutTarget val="inner"/>
          <c:xMode val="edge"/>
          <c:yMode val="edge"/>
          <c:x val="0.23217385210545932"/>
          <c:y val="0.20480554024062067"/>
          <c:w val="0.71623195853777188"/>
          <c:h val="0.55071837891110031"/>
        </c:manualLayout>
      </c:layout>
      <c:pieChart>
        <c:varyColors val="1"/>
        <c:ser>
          <c:idx val="4"/>
          <c:order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a:noFill/>
            </a:ln>
          </c:spPr>
          <c:dPt>
            <c:idx val="0"/>
            <c:bubble3D val="0"/>
            <c:explosion val="7"/>
            <c:spPr>
              <a:gradFill flip="none" rotWithShape="1">
                <a:gsLst>
                  <a:gs pos="42000">
                    <a:srgbClr val="AA70CE"/>
                  </a:gs>
                  <a:gs pos="83000">
                    <a:srgbClr val="F213A9"/>
                  </a:gs>
                </a:gsLst>
                <a:lin ang="2700000" scaled="1"/>
                <a:tileRect/>
              </a:gradFill>
              <a:ln>
                <a:noFill/>
              </a:ln>
            </c:spPr>
            <c:extLst>
              <c:ext xmlns:c16="http://schemas.microsoft.com/office/drawing/2014/chart" uri="{C3380CC4-5D6E-409C-BE32-E72D297353CC}">
                <c16:uniqueId val="{00000001-7212-4A9F-9FB8-661BAA143099}"/>
              </c:ext>
            </c:extLst>
          </c:dPt>
          <c:dPt>
            <c:idx val="1"/>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c:spPr>
            <c:extLst>
              <c:ext xmlns:c16="http://schemas.microsoft.com/office/drawing/2014/chart" uri="{C3380CC4-5D6E-409C-BE32-E72D297353CC}">
                <c16:uniqueId val="{00000003-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04-7212-4A9F-9FB8-661BAA143099}"/>
            </c:ext>
          </c:extLst>
        </c:ser>
        <c:ser>
          <c:idx val="5"/>
          <c:order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06-7212-4A9F-9FB8-661BAA143099}"/>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08-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09-7212-4A9F-9FB8-661BAA143099}"/>
            </c:ext>
          </c:extLst>
        </c:ser>
        <c:ser>
          <c:idx val="6"/>
          <c:order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0B-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0C-7212-4A9F-9FB8-661BAA143099}"/>
            </c:ext>
          </c:extLst>
        </c:ser>
        <c:ser>
          <c:idx val="7"/>
          <c:order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0E-7212-4A9F-9FB8-661BAA143099}"/>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10-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11-7212-4A9F-9FB8-661BAA143099}"/>
            </c:ext>
          </c:extLst>
        </c:ser>
        <c:ser>
          <c:idx val="2"/>
          <c:order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13-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14-7212-4A9F-9FB8-661BAA143099}"/>
            </c:ext>
          </c:extLst>
        </c:ser>
        <c:ser>
          <c:idx val="3"/>
          <c:order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16-7212-4A9F-9FB8-661BAA143099}"/>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18-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19-7212-4A9F-9FB8-661BAA143099}"/>
            </c:ext>
          </c:extLst>
        </c:ser>
        <c:ser>
          <c:idx val="1"/>
          <c:order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c:spPr>
            <c:extLst>
              <c:ext xmlns:c16="http://schemas.microsoft.com/office/drawing/2014/chart" uri="{C3380CC4-5D6E-409C-BE32-E72D297353CC}">
                <c16:uniqueId val="{0000001B-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1C-7212-4A9F-9FB8-661BAA143099}"/>
            </c:ext>
          </c:extLst>
        </c:ser>
        <c:ser>
          <c:idx val="0"/>
          <c:order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c:spPr>
          <c:dPt>
            <c:idx val="0"/>
            <c:bubble3D val="0"/>
            <c:spPr>
              <a:gradFill flip="none" rotWithShape="1">
                <a:gsLst>
                  <a:gs pos="100000">
                    <a:schemeClr val="bg1">
                      <a:lumMod val="75000"/>
                    </a:schemeClr>
                  </a:gs>
                  <a:gs pos="50000">
                    <a:schemeClr val="accent1">
                      <a:shade val="67500"/>
                      <a:satMod val="115000"/>
                    </a:schemeClr>
                  </a:gs>
                  <a:gs pos="100000">
                    <a:schemeClr val="accent1">
                      <a:shade val="100000"/>
                      <a:satMod val="11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1E-7212-4A9F-9FB8-661BAA143099}"/>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20-7212-4A9F-9FB8-661BAA143099}"/>
              </c:ext>
            </c:extLst>
          </c:dPt>
          <c:val>
            <c:numRef>
              <c:f>'MALE ANSD FEMALE'!$C$9:$C$10</c:f>
              <c:numCache>
                <c:formatCode>General</c:formatCode>
                <c:ptCount val="2"/>
                <c:pt idx="0">
                  <c:v>0</c:v>
                </c:pt>
                <c:pt idx="1">
                  <c:v>1</c:v>
                </c:pt>
              </c:numCache>
            </c:numRef>
          </c:val>
          <c:extLst>
            <c:ext xmlns:c16="http://schemas.microsoft.com/office/drawing/2014/chart" uri="{C3380CC4-5D6E-409C-BE32-E72D297353CC}">
              <c16:uniqueId val="{00000021-7212-4A9F-9FB8-661BAA143099}"/>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[HR.xlsx]EDUCATION CHART!PivotTable1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42202">
                <a:schemeClr val="accent5">
                  <a:lumMod val="75000"/>
                </a:schemeClr>
              </a:gs>
              <a:gs pos="81000">
                <a:schemeClr val="accent1">
                  <a:lumMod val="40000"/>
                  <a:lumOff val="60000"/>
                </a:schemeClr>
              </a:gs>
              <a:gs pos="57000">
                <a:schemeClr val="accent1">
                  <a:lumMod val="60000"/>
                  <a:lumOff val="40000"/>
                </a:schemeClr>
              </a:gs>
            </a:gsLst>
            <a:path path="circle">
              <a:fillToRect t="100000" r="10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57071431932022"/>
          <c:y val="0.29294010388163066"/>
          <c:w val="0.69718160584369959"/>
          <c:h val="0.5633283664514076"/>
        </c:manualLayout>
      </c:layout>
      <c:barChart>
        <c:barDir val="bar"/>
        <c:grouping val="clustered"/>
        <c:varyColors val="0"/>
        <c:ser>
          <c:idx val="0"/>
          <c:order val="0"/>
          <c:tx>
            <c:strRef>
              <c:f>'EDUCATION CHART'!$B$3</c:f>
              <c:strCache>
                <c:ptCount val="1"/>
                <c:pt idx="0">
                  <c:v>Total</c:v>
                </c:pt>
              </c:strCache>
            </c:strRef>
          </c:tx>
          <c:spPr>
            <a:gradFill rotWithShape="1">
              <a:gsLst>
                <a:gs pos="42202">
                  <a:schemeClr val="accent5">
                    <a:lumMod val="75000"/>
                  </a:schemeClr>
                </a:gs>
                <a:gs pos="81000">
                  <a:schemeClr val="accent1">
                    <a:lumMod val="40000"/>
                    <a:lumOff val="60000"/>
                  </a:schemeClr>
                </a:gs>
                <a:gs pos="57000">
                  <a:schemeClr val="accent1">
                    <a:lumMod val="60000"/>
                    <a:lumOff val="40000"/>
                  </a:schemeClr>
                </a:gs>
              </a:gsLst>
              <a:path path="circle">
                <a:fillToRect t="100000" r="100000"/>
              </a:path>
            </a:gradFill>
            <a:ln>
              <a:noFill/>
            </a:ln>
            <a:effectLst>
              <a:outerShdw blurRad="57150" dist="19050" dir="5400000" algn="ctr" rotWithShape="0">
                <a:srgbClr val="000000">
                  <a:alpha val="63000"/>
                </a:srgbClr>
              </a:outerShdw>
            </a:effectLst>
          </c:spPr>
          <c:invertIfNegative val="0"/>
          <c:cat>
            <c:strRef>
              <c:f>'EDUCATION CHART'!$A$4:$A$9</c:f>
              <c:strCache>
                <c:ptCount val="5"/>
                <c:pt idx="0">
                  <c:v>Associates Degree</c:v>
                </c:pt>
                <c:pt idx="1">
                  <c:v>Bachelor's Degree</c:v>
                </c:pt>
                <c:pt idx="2">
                  <c:v>Doctoral Degree</c:v>
                </c:pt>
                <c:pt idx="3">
                  <c:v>High School</c:v>
                </c:pt>
                <c:pt idx="4">
                  <c:v>Master's Degree</c:v>
                </c:pt>
              </c:strCache>
            </c:strRef>
          </c:cat>
          <c:val>
            <c:numRef>
              <c:f>'EDUCATION CHART'!$B$4:$B$9</c:f>
              <c:numCache>
                <c:formatCode>General</c:formatCode>
                <c:ptCount val="5"/>
                <c:pt idx="0">
                  <c:v>7</c:v>
                </c:pt>
                <c:pt idx="1">
                  <c:v>15</c:v>
                </c:pt>
                <c:pt idx="2">
                  <c:v>0</c:v>
                </c:pt>
                <c:pt idx="3">
                  <c:v>2</c:v>
                </c:pt>
                <c:pt idx="4">
                  <c:v>11</c:v>
                </c:pt>
              </c:numCache>
            </c:numRef>
          </c:val>
          <c:extLst>
            <c:ext xmlns:c16="http://schemas.microsoft.com/office/drawing/2014/chart" uri="{C3380CC4-5D6E-409C-BE32-E72D297353CC}">
              <c16:uniqueId val="{00000000-4782-4C01-BF7D-452A73DF75CC}"/>
            </c:ext>
          </c:extLst>
        </c:ser>
        <c:dLbls>
          <c:showLegendKey val="0"/>
          <c:showVal val="0"/>
          <c:showCatName val="0"/>
          <c:showSerName val="0"/>
          <c:showPercent val="0"/>
          <c:showBubbleSize val="0"/>
        </c:dLbls>
        <c:gapWidth val="115"/>
        <c:overlap val="-20"/>
        <c:axId val="1733316304"/>
        <c:axId val="1733296144"/>
      </c:barChart>
      <c:catAx>
        <c:axId val="173331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3296144"/>
        <c:crosses val="autoZero"/>
        <c:auto val="1"/>
        <c:lblAlgn val="ctr"/>
        <c:lblOffset val="100"/>
        <c:noMultiLvlLbl val="0"/>
      </c:catAx>
      <c:valAx>
        <c:axId val="17332961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331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[HR.xlsx]DEPARTMENT !PivotTable3</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1236482939632545"/>
              <c:y val="1.4219524642752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2124343832020995E-2"/>
              <c:y val="6.0059784193642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3413057742782153"/>
              <c:y val="-0.19946340040828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2124343832020995E-2"/>
              <c:y val="6.0059784193642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3413057742782153"/>
              <c:y val="-0.19946340040828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1236482939632545"/>
              <c:y val="1.4219524642752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83333333333334E-2"/>
          <c:y val="0.12731481481481483"/>
          <c:w val="0.81388888888888888"/>
          <c:h val="0.77314814814814814"/>
        </c:manualLayout>
      </c:layout>
      <c:pie3DChart>
        <c:varyColors val="1"/>
        <c:ser>
          <c:idx val="0"/>
          <c:order val="0"/>
          <c:tx>
            <c:strRef>
              <c:f>'DEPARTMENT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3A8-4204-A057-1AA406FBB1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3A8-4204-A057-1AA406FBB1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3A8-4204-A057-1AA406FBB116}"/>
              </c:ext>
            </c:extLst>
          </c:dPt>
          <c:dLbls>
            <c:dLbl>
              <c:idx val="0"/>
              <c:layout>
                <c:manualLayout>
                  <c:x val="-0.23413057742782153"/>
                  <c:y val="-0.1994634004082823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A8-4204-A057-1AA406FBB1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'DEPARTMENT '!$A$4:$A$5</c:f>
              <c:strCache>
                <c:ptCount val="1"/>
                <c:pt idx="0">
                  <c:v>R&amp;D</c:v>
                </c:pt>
              </c:strCache>
            </c:strRef>
          </c:cat>
          <c:val>
            <c:numRef>
              <c:f>'DEPARTMENT '!$B$4:$B$5</c:f>
              <c:numCache>
                <c:formatCode>General</c:formatCode>
                <c:ptCount val="1"/>
                <c:pt idx="0">
                  <c:v>59</c:v>
                </c:pt>
              </c:numCache>
            </c:numRef>
          </c:val>
          <c:extLst>
            <c:ext xmlns:c16="http://schemas.microsoft.com/office/drawing/2014/chart" uri="{C3380CC4-5D6E-409C-BE32-E72D297353CC}">
              <c16:uniqueId val="{00000006-13A8-4204-A057-1AA406FBB116}"/>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452A54E8-9F7F-42BB-A358-AD0E3933C22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490E13A-53C0-44A6-93C3-9931C59660C4}">
          <cx:dataLabels>
            <cx:visibility seriesName="0" categoryName="0" value="1"/>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image" Target="../media/image17.png"/><Relationship Id="rId26" Type="http://schemas.openxmlformats.org/officeDocument/2006/relationships/chart" Target="../charts/chart5.xml"/><Relationship Id="rId3" Type="http://schemas.openxmlformats.org/officeDocument/2006/relationships/image" Target="../media/image3.png"/><Relationship Id="rId21" Type="http://schemas.openxmlformats.org/officeDocument/2006/relationships/image" Target="../media/image20.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6.svg"/><Relationship Id="rId25" Type="http://schemas.microsoft.com/office/2014/relationships/chartEx" Target="../charts/chartEx1.xml"/><Relationship Id="rId2" Type="http://schemas.openxmlformats.org/officeDocument/2006/relationships/image" Target="../media/image2.svg"/><Relationship Id="rId16" Type="http://schemas.openxmlformats.org/officeDocument/2006/relationships/image" Target="../media/image15.png"/><Relationship Id="rId20"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image" Target="../media/image18.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chart" Target="../charts/chart2.xml"/><Relationship Id="rId27"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5</xdr:col>
      <xdr:colOff>336884</xdr:colOff>
      <xdr:row>8</xdr:row>
      <xdr:rowOff>96253</xdr:rowOff>
    </xdr:from>
    <xdr:to>
      <xdr:col>8</xdr:col>
      <xdr:colOff>185487</xdr:colOff>
      <xdr:row>19</xdr:row>
      <xdr:rowOff>87730</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8968E9CD-1E13-08AF-85FD-B5E49D5353C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171950" y="1600200"/>
              <a:ext cx="1828800" cy="2059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47625</xdr:colOff>
      <xdr:row>1</xdr:row>
      <xdr:rowOff>57151</xdr:rowOff>
    </xdr:from>
    <xdr:to>
      <xdr:col>14</xdr:col>
      <xdr:colOff>47625</xdr:colOff>
      <xdr:row>6</xdr:row>
      <xdr:rowOff>95251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AFAF17DB-747C-2DDE-27F2-27228B45104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915275" y="24765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523875</xdr:colOff>
      <xdr:row>11</xdr:row>
      <xdr:rowOff>33933</xdr:rowOff>
    </xdr:from>
    <xdr:to>
      <xdr:col>11</xdr:col>
      <xdr:colOff>522090</xdr:colOff>
      <xdr:row>15</xdr:row>
      <xdr:rowOff>102973</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63A7A104-3CCD-86F6-B1C7-D98D73D927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57693" y="2157751"/>
              <a:ext cx="1813113" cy="841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485775</xdr:colOff>
      <xdr:row>5</xdr:row>
      <xdr:rowOff>133351</xdr:rowOff>
    </xdr:from>
    <xdr:to>
      <xdr:col>3</xdr:col>
      <xdr:colOff>866775</xdr:colOff>
      <xdr:row>9</xdr:row>
      <xdr:rowOff>114301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E5FB0DD6-C188-E4A1-6F23-1032D992A43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952750" y="1085851"/>
              <a:ext cx="1828800"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47625</xdr:rowOff>
    </xdr:from>
    <xdr:to>
      <xdr:col>20</xdr:col>
      <xdr:colOff>0</xdr:colOff>
      <xdr:row>25</xdr:row>
      <xdr:rowOff>121227</xdr:rowOff>
    </xdr:to>
    <xdr:sp macro="" textlink="">
      <xdr:nvSpPr>
        <xdr:cNvPr id="2" name="Rectangle 1">
          <a:extLst>
            <a:ext uri="{FF2B5EF4-FFF2-40B4-BE49-F238E27FC236}">
              <a16:creationId xmlns:a16="http://schemas.microsoft.com/office/drawing/2014/main" id="{465A9097-AD33-2586-CB22-881FF91C092D}"/>
            </a:ext>
          </a:extLst>
        </xdr:cNvPr>
        <xdr:cNvSpPr/>
      </xdr:nvSpPr>
      <xdr:spPr>
        <a:xfrm>
          <a:off x="38100" y="47625"/>
          <a:ext cx="12084627" cy="4836102"/>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86591</xdr:colOff>
      <xdr:row>0</xdr:row>
      <xdr:rowOff>98718</xdr:rowOff>
    </xdr:from>
    <xdr:to>
      <xdr:col>10</xdr:col>
      <xdr:colOff>168088</xdr:colOff>
      <xdr:row>3</xdr:row>
      <xdr:rowOff>168088</xdr:rowOff>
    </xdr:to>
    <xdr:sp macro="" textlink="">
      <xdr:nvSpPr>
        <xdr:cNvPr id="3" name="Rectangle 2">
          <a:extLst>
            <a:ext uri="{FF2B5EF4-FFF2-40B4-BE49-F238E27FC236}">
              <a16:creationId xmlns:a16="http://schemas.microsoft.com/office/drawing/2014/main" id="{AD20DA64-9AF2-6B93-3E68-B07329D69404}"/>
            </a:ext>
          </a:extLst>
        </xdr:cNvPr>
        <xdr:cNvSpPr/>
      </xdr:nvSpPr>
      <xdr:spPr>
        <a:xfrm>
          <a:off x="86591" y="98718"/>
          <a:ext cx="6151350" cy="629664"/>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HR</a:t>
          </a:r>
          <a:r>
            <a:rPr lang="en-IN" sz="3200" b="1" baseline="0">
              <a:solidFill>
                <a:schemeClr val="tx1"/>
              </a:solidFill>
            </a:rPr>
            <a:t> ANALYSIS DASHBOARD</a:t>
          </a:r>
          <a:endParaRPr lang="en-IN" sz="3200" b="1">
            <a:solidFill>
              <a:schemeClr val="tx1"/>
            </a:solidFill>
          </a:endParaRPr>
        </a:p>
      </xdr:txBody>
    </xdr:sp>
    <xdr:clientData/>
  </xdr:twoCellAnchor>
  <xdr:twoCellAnchor>
    <xdr:from>
      <xdr:col>10</xdr:col>
      <xdr:colOff>270811</xdr:colOff>
      <xdr:row>0</xdr:row>
      <xdr:rowOff>102718</xdr:rowOff>
    </xdr:from>
    <xdr:to>
      <xdr:col>19</xdr:col>
      <xdr:colOff>560294</xdr:colOff>
      <xdr:row>3</xdr:row>
      <xdr:rowOff>168088</xdr:rowOff>
    </xdr:to>
    <xdr:sp macro="" textlink="">
      <xdr:nvSpPr>
        <xdr:cNvPr id="4" name="Rectangle 3">
          <a:extLst>
            <a:ext uri="{FF2B5EF4-FFF2-40B4-BE49-F238E27FC236}">
              <a16:creationId xmlns:a16="http://schemas.microsoft.com/office/drawing/2014/main" id="{19D40079-F5FD-BCA5-4A25-AA094776F5CF}"/>
            </a:ext>
          </a:extLst>
        </xdr:cNvPr>
        <xdr:cNvSpPr/>
      </xdr:nvSpPr>
      <xdr:spPr>
        <a:xfrm>
          <a:off x="6332175" y="102718"/>
          <a:ext cx="5744710" cy="628211"/>
        </a:xfrm>
        <a:prstGeom prst="rect">
          <a:avLst/>
        </a:prstGeom>
        <a:gradFill>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JOB</a:t>
          </a:r>
          <a:r>
            <a:rPr lang="en-IN" sz="3200" baseline="0">
              <a:solidFill>
                <a:schemeClr val="tx1"/>
              </a:solidFill>
            </a:rPr>
            <a:t> </a:t>
          </a:r>
          <a:r>
            <a:rPr lang="en-IN" sz="3200" b="1" baseline="0">
              <a:solidFill>
                <a:schemeClr val="tx1"/>
              </a:solidFill>
            </a:rPr>
            <a:t>SATISFACTION</a:t>
          </a:r>
          <a:endParaRPr lang="en-IN" sz="3200" b="1">
            <a:solidFill>
              <a:schemeClr val="tx1"/>
            </a:solidFill>
          </a:endParaRPr>
        </a:p>
      </xdr:txBody>
    </xdr:sp>
    <xdr:clientData/>
  </xdr:twoCellAnchor>
  <xdr:twoCellAnchor>
    <xdr:from>
      <xdr:col>0</xdr:col>
      <xdr:colOff>84792</xdr:colOff>
      <xdr:row>4</xdr:row>
      <xdr:rowOff>27503</xdr:rowOff>
    </xdr:from>
    <xdr:to>
      <xdr:col>4</xdr:col>
      <xdr:colOff>137474</xdr:colOff>
      <xdr:row>7</xdr:row>
      <xdr:rowOff>92873</xdr:rowOff>
    </xdr:to>
    <xdr:sp macro="" textlink="">
      <xdr:nvSpPr>
        <xdr:cNvPr id="9" name="Rectangle 8">
          <a:extLst>
            <a:ext uri="{FF2B5EF4-FFF2-40B4-BE49-F238E27FC236}">
              <a16:creationId xmlns:a16="http://schemas.microsoft.com/office/drawing/2014/main" id="{A395B149-FAE6-4C4C-835D-0B62C661A558}"/>
            </a:ext>
          </a:extLst>
        </xdr:cNvPr>
        <xdr:cNvSpPr/>
      </xdr:nvSpPr>
      <xdr:spPr>
        <a:xfrm>
          <a:off x="84792" y="773792"/>
          <a:ext cx="2487940" cy="625086"/>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rPr>
            <a:t>TOTAL EMPLOYEES</a:t>
          </a:r>
        </a:p>
        <a:p>
          <a:pPr algn="ctr"/>
          <a:endParaRPr lang="en-IN" sz="1600" b="1">
            <a:solidFill>
              <a:schemeClr val="tx1"/>
            </a:solidFill>
            <a:latin typeface="+mn-lt"/>
          </a:endParaRPr>
        </a:p>
      </xdr:txBody>
    </xdr:sp>
    <xdr:clientData/>
  </xdr:twoCellAnchor>
  <xdr:twoCellAnchor>
    <xdr:from>
      <xdr:col>4</xdr:col>
      <xdr:colOff>198395</xdr:colOff>
      <xdr:row>4</xdr:row>
      <xdr:rowOff>20190</xdr:rowOff>
    </xdr:from>
    <xdr:to>
      <xdr:col>8</xdr:col>
      <xdr:colOff>147294</xdr:colOff>
      <xdr:row>7</xdr:row>
      <xdr:rowOff>85560</xdr:rowOff>
    </xdr:to>
    <xdr:sp macro="" textlink="">
      <xdr:nvSpPr>
        <xdr:cNvPr id="14" name="Rectangle 13">
          <a:extLst>
            <a:ext uri="{FF2B5EF4-FFF2-40B4-BE49-F238E27FC236}">
              <a16:creationId xmlns:a16="http://schemas.microsoft.com/office/drawing/2014/main" id="{F12B1E82-E761-4CCC-9D45-94359FB02561}"/>
            </a:ext>
          </a:extLst>
        </xdr:cNvPr>
        <xdr:cNvSpPr/>
      </xdr:nvSpPr>
      <xdr:spPr>
        <a:xfrm>
          <a:off x="2633653" y="766479"/>
          <a:ext cx="2384156" cy="625086"/>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ATTRITION</a:t>
          </a:r>
        </a:p>
      </xdr:txBody>
    </xdr:sp>
    <xdr:clientData/>
  </xdr:twoCellAnchor>
  <xdr:twoCellAnchor>
    <xdr:from>
      <xdr:col>8</xdr:col>
      <xdr:colOff>193971</xdr:colOff>
      <xdr:row>4</xdr:row>
      <xdr:rowOff>24143</xdr:rowOff>
    </xdr:from>
    <xdr:to>
      <xdr:col>12</xdr:col>
      <xdr:colOff>78557</xdr:colOff>
      <xdr:row>7</xdr:row>
      <xdr:rowOff>89513</xdr:rowOff>
    </xdr:to>
    <xdr:sp macro="" textlink="">
      <xdr:nvSpPr>
        <xdr:cNvPr id="15" name="Rectangle 14">
          <a:extLst>
            <a:ext uri="{FF2B5EF4-FFF2-40B4-BE49-F238E27FC236}">
              <a16:creationId xmlns:a16="http://schemas.microsoft.com/office/drawing/2014/main" id="{D70DEB71-3A56-484A-8217-CE0475DC94F6}"/>
            </a:ext>
          </a:extLst>
        </xdr:cNvPr>
        <xdr:cNvSpPr/>
      </xdr:nvSpPr>
      <xdr:spPr>
        <a:xfrm>
          <a:off x="5064486" y="770432"/>
          <a:ext cx="2319844" cy="625086"/>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ACTIVE</a:t>
          </a:r>
        </a:p>
      </xdr:txBody>
    </xdr:sp>
    <xdr:clientData/>
  </xdr:twoCellAnchor>
  <xdr:twoCellAnchor>
    <xdr:from>
      <xdr:col>12</xdr:col>
      <xdr:colOff>130628</xdr:colOff>
      <xdr:row>4</xdr:row>
      <xdr:rowOff>17792</xdr:rowOff>
    </xdr:from>
    <xdr:to>
      <xdr:col>16</xdr:col>
      <xdr:colOff>39277</xdr:colOff>
      <xdr:row>7</xdr:row>
      <xdr:rowOff>83162</xdr:rowOff>
    </xdr:to>
    <xdr:sp macro="" textlink="">
      <xdr:nvSpPr>
        <xdr:cNvPr id="16" name="Rectangle 15">
          <a:extLst>
            <a:ext uri="{FF2B5EF4-FFF2-40B4-BE49-F238E27FC236}">
              <a16:creationId xmlns:a16="http://schemas.microsoft.com/office/drawing/2014/main" id="{8C18911F-205F-4DF4-B902-CBE340161C28}"/>
            </a:ext>
          </a:extLst>
        </xdr:cNvPr>
        <xdr:cNvSpPr/>
      </xdr:nvSpPr>
      <xdr:spPr>
        <a:xfrm>
          <a:off x="7436401" y="764081"/>
          <a:ext cx="2343907" cy="625086"/>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ATTRITION RATE</a:t>
          </a:r>
        </a:p>
      </xdr:txBody>
    </xdr:sp>
    <xdr:clientData/>
  </xdr:twoCellAnchor>
  <xdr:twoCellAnchor>
    <xdr:from>
      <xdr:col>16</xdr:col>
      <xdr:colOff>85962</xdr:colOff>
      <xdr:row>4</xdr:row>
      <xdr:rowOff>21261</xdr:rowOff>
    </xdr:from>
    <xdr:to>
      <xdr:col>19</xdr:col>
      <xdr:colOff>569537</xdr:colOff>
      <xdr:row>7</xdr:row>
      <xdr:rowOff>86631</xdr:rowOff>
    </xdr:to>
    <xdr:sp macro="" textlink="">
      <xdr:nvSpPr>
        <xdr:cNvPr id="17" name="Rectangle 16">
          <a:extLst>
            <a:ext uri="{FF2B5EF4-FFF2-40B4-BE49-F238E27FC236}">
              <a16:creationId xmlns:a16="http://schemas.microsoft.com/office/drawing/2014/main" id="{23791460-FDCC-4F40-9D62-7CACEC185794}"/>
            </a:ext>
          </a:extLst>
        </xdr:cNvPr>
        <xdr:cNvSpPr/>
      </xdr:nvSpPr>
      <xdr:spPr>
        <a:xfrm>
          <a:off x="9826993" y="767550"/>
          <a:ext cx="2310018" cy="625086"/>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AVERAGE AGE</a:t>
          </a:r>
        </a:p>
      </xdr:txBody>
    </xdr:sp>
    <xdr:clientData/>
  </xdr:twoCellAnchor>
  <xdr:twoCellAnchor editAs="oneCell">
    <xdr:from>
      <xdr:col>0</xdr:col>
      <xdr:colOff>245490</xdr:colOff>
      <xdr:row>0</xdr:row>
      <xdr:rowOff>114452</xdr:rowOff>
    </xdr:from>
    <xdr:to>
      <xdr:col>1</xdr:col>
      <xdr:colOff>235670</xdr:colOff>
      <xdr:row>3</xdr:row>
      <xdr:rowOff>127655</xdr:rowOff>
    </xdr:to>
    <xdr:pic>
      <xdr:nvPicPr>
        <xdr:cNvPr id="7" name="Graphic 6" descr="Bullseye">
          <a:extLst>
            <a:ext uri="{FF2B5EF4-FFF2-40B4-BE49-F238E27FC236}">
              <a16:creationId xmlns:a16="http://schemas.microsoft.com/office/drawing/2014/main" id="{E8C014E2-3B78-2529-67A8-3E1C291912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5490" y="114452"/>
          <a:ext cx="598994" cy="572919"/>
        </a:xfrm>
        <a:prstGeom prst="rect">
          <a:avLst/>
        </a:prstGeom>
      </xdr:spPr>
    </xdr:pic>
    <xdr:clientData/>
  </xdr:twoCellAnchor>
  <xdr:twoCellAnchor editAs="oneCell">
    <xdr:from>
      <xdr:col>3</xdr:col>
      <xdr:colOff>255310</xdr:colOff>
      <xdr:row>4</xdr:row>
      <xdr:rowOff>88376</xdr:rowOff>
    </xdr:from>
    <xdr:to>
      <xdr:col>4</xdr:col>
      <xdr:colOff>157113</xdr:colOff>
      <xdr:row>6</xdr:row>
      <xdr:rowOff>148471</xdr:rowOff>
    </xdr:to>
    <xdr:pic>
      <xdr:nvPicPr>
        <xdr:cNvPr id="6" name="Graphic 5" descr="Group of people">
          <a:extLst>
            <a:ext uri="{FF2B5EF4-FFF2-40B4-BE49-F238E27FC236}">
              <a16:creationId xmlns:a16="http://schemas.microsoft.com/office/drawing/2014/main" id="{C6BEB32F-1CBC-E7B2-E523-C68C18DFA6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81753" y="834665"/>
          <a:ext cx="510618" cy="433239"/>
        </a:xfrm>
        <a:prstGeom prst="rect">
          <a:avLst/>
        </a:prstGeom>
      </xdr:spPr>
    </xdr:pic>
    <xdr:clientData/>
  </xdr:twoCellAnchor>
  <xdr:twoCellAnchor editAs="oneCell">
    <xdr:from>
      <xdr:col>7</xdr:col>
      <xdr:colOff>333865</xdr:colOff>
      <xdr:row>4</xdr:row>
      <xdr:rowOff>58915</xdr:rowOff>
    </xdr:from>
    <xdr:to>
      <xdr:col>8</xdr:col>
      <xdr:colOff>148472</xdr:colOff>
      <xdr:row>6</xdr:row>
      <xdr:rowOff>109192</xdr:rowOff>
    </xdr:to>
    <xdr:pic>
      <xdr:nvPicPr>
        <xdr:cNvPr id="10" name="Graphic 9" descr="Group of women">
          <a:extLst>
            <a:ext uri="{FF2B5EF4-FFF2-40B4-BE49-F238E27FC236}">
              <a16:creationId xmlns:a16="http://schemas.microsoft.com/office/drawing/2014/main" id="{18C02E3C-940C-94E6-8764-4D7CCD06453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95566" y="805204"/>
          <a:ext cx="423421" cy="423421"/>
        </a:xfrm>
        <a:prstGeom prst="rect">
          <a:avLst/>
        </a:prstGeom>
      </xdr:spPr>
    </xdr:pic>
    <xdr:clientData/>
  </xdr:twoCellAnchor>
  <xdr:twoCellAnchor editAs="oneCell">
    <xdr:from>
      <xdr:col>11</xdr:col>
      <xdr:colOff>274948</xdr:colOff>
      <xdr:row>4</xdr:row>
      <xdr:rowOff>9817</xdr:rowOff>
    </xdr:from>
    <xdr:to>
      <xdr:col>12</xdr:col>
      <xdr:colOff>109194</xdr:colOff>
      <xdr:row>6</xdr:row>
      <xdr:rowOff>79733</xdr:rowOff>
    </xdr:to>
    <xdr:pic>
      <xdr:nvPicPr>
        <xdr:cNvPr id="12" name="Graphic 11" descr="Programmer">
          <a:extLst>
            <a:ext uri="{FF2B5EF4-FFF2-40B4-BE49-F238E27FC236}">
              <a16:creationId xmlns:a16="http://schemas.microsoft.com/office/drawing/2014/main" id="{0ABE4A30-950B-A2F2-CDB0-052D523136C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71907" y="756106"/>
          <a:ext cx="443060" cy="443060"/>
        </a:xfrm>
        <a:prstGeom prst="rect">
          <a:avLst/>
        </a:prstGeom>
      </xdr:spPr>
    </xdr:pic>
    <xdr:clientData/>
  </xdr:twoCellAnchor>
  <xdr:twoCellAnchor editAs="oneCell">
    <xdr:from>
      <xdr:col>15</xdr:col>
      <xdr:colOff>235670</xdr:colOff>
      <xdr:row>4</xdr:row>
      <xdr:rowOff>29458</xdr:rowOff>
    </xdr:from>
    <xdr:to>
      <xdr:col>16</xdr:col>
      <xdr:colOff>30636</xdr:colOff>
      <xdr:row>6</xdr:row>
      <xdr:rowOff>60095</xdr:rowOff>
    </xdr:to>
    <xdr:pic>
      <xdr:nvPicPr>
        <xdr:cNvPr id="18" name="Graphic 17" descr="Bar graph with downward trend">
          <a:extLst>
            <a:ext uri="{FF2B5EF4-FFF2-40B4-BE49-F238E27FC236}">
              <a16:creationId xmlns:a16="http://schemas.microsoft.com/office/drawing/2014/main" id="{511E6C1B-6267-D726-977B-287AA514625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67886" y="775747"/>
          <a:ext cx="403781" cy="403781"/>
        </a:xfrm>
        <a:prstGeom prst="rect">
          <a:avLst/>
        </a:prstGeom>
      </xdr:spPr>
    </xdr:pic>
    <xdr:clientData/>
  </xdr:twoCellAnchor>
  <xdr:twoCellAnchor editAs="oneCell">
    <xdr:from>
      <xdr:col>19</xdr:col>
      <xdr:colOff>88377</xdr:colOff>
      <xdr:row>4</xdr:row>
      <xdr:rowOff>9819</xdr:rowOff>
    </xdr:from>
    <xdr:to>
      <xdr:col>19</xdr:col>
      <xdr:colOff>560895</xdr:colOff>
      <xdr:row>6</xdr:row>
      <xdr:rowOff>109193</xdr:rowOff>
    </xdr:to>
    <xdr:pic>
      <xdr:nvPicPr>
        <xdr:cNvPr id="20" name="Graphic 19" descr="Circular flowchart">
          <a:extLst>
            <a:ext uri="{FF2B5EF4-FFF2-40B4-BE49-F238E27FC236}">
              <a16:creationId xmlns:a16="http://schemas.microsoft.com/office/drawing/2014/main" id="{79038148-E854-39E5-B7EA-87F661AA175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655851" y="756108"/>
          <a:ext cx="472518" cy="472518"/>
        </a:xfrm>
        <a:prstGeom prst="rect">
          <a:avLst/>
        </a:prstGeom>
      </xdr:spPr>
    </xdr:pic>
    <xdr:clientData/>
  </xdr:twoCellAnchor>
  <xdr:twoCellAnchor>
    <xdr:from>
      <xdr:col>0</xdr:col>
      <xdr:colOff>549897</xdr:colOff>
      <xdr:row>5</xdr:row>
      <xdr:rowOff>117835</xdr:rowOff>
    </xdr:from>
    <xdr:to>
      <xdr:col>3</xdr:col>
      <xdr:colOff>166933</xdr:colOff>
      <xdr:row>7</xdr:row>
      <xdr:rowOff>68737</xdr:rowOff>
    </xdr:to>
    <xdr:sp macro="" textlink="'total employee'!B7">
      <xdr:nvSpPr>
        <xdr:cNvPr id="21" name="TextBox 20">
          <a:extLst>
            <a:ext uri="{FF2B5EF4-FFF2-40B4-BE49-F238E27FC236}">
              <a16:creationId xmlns:a16="http://schemas.microsoft.com/office/drawing/2014/main" id="{452B611E-B93D-B267-2B0F-8EE8191BD4D9}"/>
            </a:ext>
          </a:extLst>
        </xdr:cNvPr>
        <xdr:cNvSpPr txBox="1"/>
      </xdr:nvSpPr>
      <xdr:spPr>
        <a:xfrm>
          <a:off x="549897" y="1050696"/>
          <a:ext cx="1443479"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B5D095-FA83-4DD1-8B9B-F95DEA16A602}" type="TxLink">
            <a:rPr lang="en-US" sz="2400" b="0" i="0" u="none" strike="noStrike">
              <a:solidFill>
                <a:srgbClr val="000000"/>
              </a:solidFill>
              <a:latin typeface="Calibri"/>
              <a:ea typeface="Calibri"/>
              <a:cs typeface="Calibri"/>
            </a:rPr>
            <a:pPr algn="ctr"/>
            <a:t>274</a:t>
          </a:fld>
          <a:endParaRPr lang="en-IN" sz="2400"/>
        </a:p>
      </xdr:txBody>
    </xdr:sp>
    <xdr:clientData/>
  </xdr:twoCellAnchor>
  <xdr:twoCellAnchor>
    <xdr:from>
      <xdr:col>5</xdr:col>
      <xdr:colOff>73843</xdr:colOff>
      <xdr:row>5</xdr:row>
      <xdr:rowOff>103302</xdr:rowOff>
    </xdr:from>
    <xdr:to>
      <xdr:col>7</xdr:col>
      <xdr:colOff>299693</xdr:colOff>
      <xdr:row>7</xdr:row>
      <xdr:rowOff>54204</xdr:rowOff>
    </xdr:to>
    <xdr:sp macro="" textlink="'total employee'!D7">
      <xdr:nvSpPr>
        <xdr:cNvPr id="22" name="TextBox 21">
          <a:extLst>
            <a:ext uri="{FF2B5EF4-FFF2-40B4-BE49-F238E27FC236}">
              <a16:creationId xmlns:a16="http://schemas.microsoft.com/office/drawing/2014/main" id="{C0CC2DEF-144D-46DE-9F8C-A7B094EE1416}"/>
            </a:ext>
          </a:extLst>
        </xdr:cNvPr>
        <xdr:cNvSpPr txBox="1"/>
      </xdr:nvSpPr>
      <xdr:spPr>
        <a:xfrm>
          <a:off x="3117915" y="1036163"/>
          <a:ext cx="1443479"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BE1B3-81BC-4620-BB7D-D4EDC2B1E365}" type="TxLink">
            <a:rPr lang="en-US" sz="2400" b="0" i="0" u="none" strike="noStrike">
              <a:solidFill>
                <a:srgbClr val="000000"/>
              </a:solidFill>
              <a:latin typeface="Calibri"/>
              <a:ea typeface="Calibri"/>
              <a:cs typeface="Calibri"/>
            </a:rPr>
            <a:pPr algn="ctr"/>
            <a:t>35</a:t>
          </a:fld>
          <a:endParaRPr lang="en-IN" sz="2400"/>
        </a:p>
      </xdr:txBody>
    </xdr:sp>
    <xdr:clientData/>
  </xdr:twoCellAnchor>
  <xdr:twoCellAnchor>
    <xdr:from>
      <xdr:col>9</xdr:col>
      <xdr:colOff>39670</xdr:colOff>
      <xdr:row>5</xdr:row>
      <xdr:rowOff>118228</xdr:rowOff>
    </xdr:from>
    <xdr:to>
      <xdr:col>11</xdr:col>
      <xdr:colOff>265520</xdr:colOff>
      <xdr:row>7</xdr:row>
      <xdr:rowOff>69130</xdr:rowOff>
    </xdr:to>
    <xdr:sp macro="" textlink="'total employee'!E7">
      <xdr:nvSpPr>
        <xdr:cNvPr id="25" name="TextBox 24">
          <a:extLst>
            <a:ext uri="{FF2B5EF4-FFF2-40B4-BE49-F238E27FC236}">
              <a16:creationId xmlns:a16="http://schemas.microsoft.com/office/drawing/2014/main" id="{72A03C54-8851-47A4-A2BA-1A7F42FB0BBB}"/>
            </a:ext>
          </a:extLst>
        </xdr:cNvPr>
        <xdr:cNvSpPr txBox="1"/>
      </xdr:nvSpPr>
      <xdr:spPr>
        <a:xfrm>
          <a:off x="5519000" y="1051089"/>
          <a:ext cx="1443479"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516178-CD6F-4317-B448-112DADB2B592}" type="TxLink">
            <a:rPr lang="en-US" sz="2400" b="0" i="0" u="none" strike="noStrike">
              <a:solidFill>
                <a:srgbClr val="000000"/>
              </a:solidFill>
              <a:latin typeface="Calibri"/>
              <a:ea typeface="Calibri"/>
              <a:cs typeface="Calibri"/>
            </a:rPr>
            <a:pPr algn="ctr"/>
            <a:t>239</a:t>
          </a:fld>
          <a:endParaRPr lang="en-IN" sz="2400"/>
        </a:p>
      </xdr:txBody>
    </xdr:sp>
    <xdr:clientData/>
  </xdr:twoCellAnchor>
  <xdr:twoCellAnchor>
    <xdr:from>
      <xdr:col>12</xdr:col>
      <xdr:colOff>604493</xdr:colOff>
      <xdr:row>5</xdr:row>
      <xdr:rowOff>93875</xdr:rowOff>
    </xdr:from>
    <xdr:to>
      <xdr:col>15</xdr:col>
      <xdr:colOff>221529</xdr:colOff>
      <xdr:row>7</xdr:row>
      <xdr:rowOff>44777</xdr:rowOff>
    </xdr:to>
    <xdr:sp macro="" textlink="'total employee'!F7">
      <xdr:nvSpPr>
        <xdr:cNvPr id="26" name="TextBox 25">
          <a:extLst>
            <a:ext uri="{FF2B5EF4-FFF2-40B4-BE49-F238E27FC236}">
              <a16:creationId xmlns:a16="http://schemas.microsoft.com/office/drawing/2014/main" id="{E365D627-CBDF-4E82-86D5-EB4992E4C6AA}"/>
            </a:ext>
          </a:extLst>
        </xdr:cNvPr>
        <xdr:cNvSpPr txBox="1"/>
      </xdr:nvSpPr>
      <xdr:spPr>
        <a:xfrm>
          <a:off x="7910266" y="1026736"/>
          <a:ext cx="1443479"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C18B4E-D1CB-48FA-ADC5-108EF41347F7}" type="TxLink">
            <a:rPr lang="en-US" sz="2400" b="0" i="0" u="none" strike="noStrike">
              <a:solidFill>
                <a:srgbClr val="000000"/>
              </a:solidFill>
              <a:latin typeface="Calibri"/>
              <a:ea typeface="Calibri"/>
              <a:cs typeface="Calibri"/>
            </a:rPr>
            <a:pPr algn="ctr"/>
            <a:t>0.127737226</a:t>
          </a:fld>
          <a:endParaRPr lang="en-IN" sz="2400"/>
        </a:p>
      </xdr:txBody>
    </xdr:sp>
    <xdr:clientData/>
  </xdr:twoCellAnchor>
  <xdr:twoCellAnchor>
    <xdr:from>
      <xdr:col>16</xdr:col>
      <xdr:colOff>501583</xdr:colOff>
      <xdr:row>5</xdr:row>
      <xdr:rowOff>118620</xdr:rowOff>
    </xdr:from>
    <xdr:to>
      <xdr:col>19</xdr:col>
      <xdr:colOff>118619</xdr:colOff>
      <xdr:row>7</xdr:row>
      <xdr:rowOff>69522</xdr:rowOff>
    </xdr:to>
    <xdr:sp macro="" textlink="'total employee'!C7">
      <xdr:nvSpPr>
        <xdr:cNvPr id="27" name="TextBox 26">
          <a:extLst>
            <a:ext uri="{FF2B5EF4-FFF2-40B4-BE49-F238E27FC236}">
              <a16:creationId xmlns:a16="http://schemas.microsoft.com/office/drawing/2014/main" id="{317950D9-EF69-402A-8C9C-F87E5C524979}"/>
            </a:ext>
          </a:extLst>
        </xdr:cNvPr>
        <xdr:cNvSpPr txBox="1"/>
      </xdr:nvSpPr>
      <xdr:spPr>
        <a:xfrm>
          <a:off x="10242614" y="1051481"/>
          <a:ext cx="1443479"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EE1F8F-4A64-45A7-84B5-7837B771D5F4}" type="TxLink">
            <a:rPr lang="en-US" sz="2400" b="0" i="0" u="none" strike="noStrike">
              <a:solidFill>
                <a:srgbClr val="000000"/>
              </a:solidFill>
              <a:latin typeface="Calibri"/>
              <a:ea typeface="Calibri"/>
              <a:cs typeface="Calibri"/>
            </a:rPr>
            <a:pPr algn="ctr"/>
            <a:t>37</a:t>
          </a:fld>
          <a:endParaRPr lang="en-IN" sz="2400"/>
        </a:p>
      </xdr:txBody>
    </xdr:sp>
    <xdr:clientData/>
  </xdr:twoCellAnchor>
  <xdr:twoCellAnchor>
    <xdr:from>
      <xdr:col>17</xdr:col>
      <xdr:colOff>418523</xdr:colOff>
      <xdr:row>0</xdr:row>
      <xdr:rowOff>97600</xdr:rowOff>
    </xdr:from>
    <xdr:to>
      <xdr:col>20</xdr:col>
      <xdr:colOff>144318</xdr:colOff>
      <xdr:row>4</xdr:row>
      <xdr:rowOff>129885</xdr:rowOff>
    </xdr:to>
    <xdr:graphicFrame macro="">
      <xdr:nvGraphicFramePr>
        <xdr:cNvPr id="29" name="Chart 2">
          <a:extLst>
            <a:ext uri="{FF2B5EF4-FFF2-40B4-BE49-F238E27FC236}">
              <a16:creationId xmlns:a16="http://schemas.microsoft.com/office/drawing/2014/main" id="{6D33E40E-381D-E49F-4155-A0A297DBD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10</xdr:col>
      <xdr:colOff>498093</xdr:colOff>
      <xdr:row>0</xdr:row>
      <xdr:rowOff>183867</xdr:rowOff>
    </xdr:from>
    <xdr:to>
      <xdr:col>11</xdr:col>
      <xdr:colOff>325224</xdr:colOff>
      <xdr:row>3</xdr:row>
      <xdr:rowOff>60097</xdr:rowOff>
    </xdr:to>
    <xdr:pic>
      <xdr:nvPicPr>
        <xdr:cNvPr id="31" name="Graphic 30" descr="Thumbs up sign">
          <a:extLst>
            <a:ext uri="{FF2B5EF4-FFF2-40B4-BE49-F238E27FC236}">
              <a16:creationId xmlns:a16="http://schemas.microsoft.com/office/drawing/2014/main" id="{294515BF-79BA-6FC7-B069-BD64597E4AA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586237" y="183867"/>
          <a:ext cx="435946" cy="435946"/>
        </a:xfrm>
        <a:prstGeom prst="rect">
          <a:avLst/>
        </a:prstGeom>
      </xdr:spPr>
    </xdr:pic>
    <xdr:clientData/>
  </xdr:twoCellAnchor>
  <xdr:twoCellAnchor editAs="oneCell">
    <xdr:from>
      <xdr:col>11</xdr:col>
      <xdr:colOff>206211</xdr:colOff>
      <xdr:row>0</xdr:row>
      <xdr:rowOff>98196</xdr:rowOff>
    </xdr:from>
    <xdr:to>
      <xdr:col>12</xdr:col>
      <xdr:colOff>33343</xdr:colOff>
      <xdr:row>2</xdr:row>
      <xdr:rowOff>160998</xdr:rowOff>
    </xdr:to>
    <xdr:pic>
      <xdr:nvPicPr>
        <xdr:cNvPr id="33" name="Graphic 32" descr="Stars">
          <a:extLst>
            <a:ext uri="{FF2B5EF4-FFF2-40B4-BE49-F238E27FC236}">
              <a16:creationId xmlns:a16="http://schemas.microsoft.com/office/drawing/2014/main" id="{5431B21E-26F4-0276-1218-A6149FF3772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903170" y="98196"/>
          <a:ext cx="435946" cy="435946"/>
        </a:xfrm>
        <a:prstGeom prst="rect">
          <a:avLst/>
        </a:prstGeom>
      </xdr:spPr>
    </xdr:pic>
    <xdr:clientData/>
  </xdr:twoCellAnchor>
  <xdr:twoCellAnchor>
    <xdr:from>
      <xdr:col>0</xdr:col>
      <xdr:colOff>70207</xdr:colOff>
      <xdr:row>7</xdr:row>
      <xdr:rowOff>143945</xdr:rowOff>
    </xdr:from>
    <xdr:to>
      <xdr:col>6</xdr:col>
      <xdr:colOff>160533</xdr:colOff>
      <xdr:row>16</xdr:row>
      <xdr:rowOff>96320</xdr:rowOff>
    </xdr:to>
    <xdr:sp macro="" textlink="">
      <xdr:nvSpPr>
        <xdr:cNvPr id="34" name="Rectangle 33">
          <a:extLst>
            <a:ext uri="{FF2B5EF4-FFF2-40B4-BE49-F238E27FC236}">
              <a16:creationId xmlns:a16="http://schemas.microsoft.com/office/drawing/2014/main" id="{BF4C726B-D627-40D6-AF33-EB36954AC4E6}"/>
            </a:ext>
          </a:extLst>
        </xdr:cNvPr>
        <xdr:cNvSpPr/>
      </xdr:nvSpPr>
      <xdr:spPr>
        <a:xfrm>
          <a:off x="70207" y="1477445"/>
          <a:ext cx="3773326" cy="1666875"/>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rPr>
            <a:t>TOTAL</a:t>
          </a:r>
          <a:r>
            <a:rPr lang="en-IN" sz="1600" b="1" baseline="0">
              <a:solidFill>
                <a:schemeClr val="tx1"/>
              </a:solidFill>
              <a:latin typeface="+mn-lt"/>
            </a:rPr>
            <a:t> </a:t>
          </a:r>
          <a:r>
            <a:rPr lang="en-IN" sz="1600" b="1">
              <a:solidFill>
                <a:schemeClr val="tx1"/>
              </a:solidFill>
              <a:latin typeface="+mn-lt"/>
            </a:rPr>
            <a:t>EMPLOYEEES BY GENDER</a:t>
          </a:r>
        </a:p>
      </xdr:txBody>
    </xdr:sp>
    <xdr:clientData/>
  </xdr:twoCellAnchor>
  <xdr:twoCellAnchor>
    <xdr:from>
      <xdr:col>13</xdr:col>
      <xdr:colOff>64215</xdr:colOff>
      <xdr:row>7</xdr:row>
      <xdr:rowOff>114407</xdr:rowOff>
    </xdr:from>
    <xdr:to>
      <xdr:col>19</xdr:col>
      <xdr:colOff>556518</xdr:colOff>
      <xdr:row>16</xdr:row>
      <xdr:rowOff>107023</xdr:rowOff>
    </xdr:to>
    <xdr:sp macro="" textlink="">
      <xdr:nvSpPr>
        <xdr:cNvPr id="35" name="Rectangle 34">
          <a:extLst>
            <a:ext uri="{FF2B5EF4-FFF2-40B4-BE49-F238E27FC236}">
              <a16:creationId xmlns:a16="http://schemas.microsoft.com/office/drawing/2014/main" id="{D7C2F548-48B9-4769-979A-9466A1108440}"/>
            </a:ext>
          </a:extLst>
        </xdr:cNvPr>
        <xdr:cNvSpPr/>
      </xdr:nvSpPr>
      <xdr:spPr>
        <a:xfrm>
          <a:off x="7994580" y="1462890"/>
          <a:ext cx="4152472" cy="1726380"/>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rPr>
            <a:t>ATTRITION  BY ROB ROLE</a:t>
          </a:r>
        </a:p>
      </xdr:txBody>
    </xdr:sp>
    <xdr:clientData/>
  </xdr:twoCellAnchor>
  <xdr:twoCellAnchor>
    <xdr:from>
      <xdr:col>6</xdr:col>
      <xdr:colOff>224747</xdr:colOff>
      <xdr:row>7</xdr:row>
      <xdr:rowOff>127677</xdr:rowOff>
    </xdr:from>
    <xdr:to>
      <xdr:col>12</xdr:col>
      <xdr:colOff>599326</xdr:colOff>
      <xdr:row>16</xdr:row>
      <xdr:rowOff>120293</xdr:rowOff>
    </xdr:to>
    <xdr:sp macro="" textlink="">
      <xdr:nvSpPr>
        <xdr:cNvPr id="36" name="Rectangle 35">
          <a:extLst>
            <a:ext uri="{FF2B5EF4-FFF2-40B4-BE49-F238E27FC236}">
              <a16:creationId xmlns:a16="http://schemas.microsoft.com/office/drawing/2014/main" id="{A43A2743-1364-40E5-A0EB-3A78CE4B9DB6}"/>
            </a:ext>
          </a:extLst>
        </xdr:cNvPr>
        <xdr:cNvSpPr/>
      </xdr:nvSpPr>
      <xdr:spPr>
        <a:xfrm>
          <a:off x="3884916" y="1476160"/>
          <a:ext cx="4034747" cy="1726380"/>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rPr>
            <a:t>ATTRITION RATE OVER EDUCATION</a:t>
          </a:r>
        </a:p>
      </xdr:txBody>
    </xdr:sp>
    <xdr:clientData/>
  </xdr:twoCellAnchor>
  <xdr:twoCellAnchor editAs="oneCell">
    <xdr:from>
      <xdr:col>2</xdr:col>
      <xdr:colOff>112303</xdr:colOff>
      <xdr:row>12</xdr:row>
      <xdr:rowOff>132649</xdr:rowOff>
    </xdr:from>
    <xdr:to>
      <xdr:col>3</xdr:col>
      <xdr:colOff>135619</xdr:colOff>
      <xdr:row>15</xdr:row>
      <xdr:rowOff>109822</xdr:rowOff>
    </xdr:to>
    <xdr:pic>
      <xdr:nvPicPr>
        <xdr:cNvPr id="37" name="Graphic 36" descr="Female Profile">
          <a:extLst>
            <a:ext uri="{FF2B5EF4-FFF2-40B4-BE49-F238E27FC236}">
              <a16:creationId xmlns:a16="http://schemas.microsoft.com/office/drawing/2014/main" id="{D2764F85-48C7-42E0-B7E4-876838D7B05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39970" y="2418649"/>
          <a:ext cx="637149" cy="548673"/>
        </a:xfrm>
        <a:prstGeom prst="rect">
          <a:avLst/>
        </a:prstGeom>
      </xdr:spPr>
    </xdr:pic>
    <xdr:clientData/>
  </xdr:twoCellAnchor>
  <xdr:twoCellAnchor editAs="oneCell">
    <xdr:from>
      <xdr:col>3</xdr:col>
      <xdr:colOff>281517</xdr:colOff>
      <xdr:row>12</xdr:row>
      <xdr:rowOff>89840</xdr:rowOff>
    </xdr:from>
    <xdr:to>
      <xdr:col>4</xdr:col>
      <xdr:colOff>299206</xdr:colOff>
      <xdr:row>15</xdr:row>
      <xdr:rowOff>126327</xdr:rowOff>
    </xdr:to>
    <xdr:pic>
      <xdr:nvPicPr>
        <xdr:cNvPr id="38" name="Graphic 37" descr="Male profile">
          <a:extLst>
            <a:ext uri="{FF2B5EF4-FFF2-40B4-BE49-F238E27FC236}">
              <a16:creationId xmlns:a16="http://schemas.microsoft.com/office/drawing/2014/main" id="{6F4D8E72-BE1F-4367-AB88-B61D0806388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123017" y="2375840"/>
          <a:ext cx="631522" cy="607987"/>
        </a:xfrm>
        <a:prstGeom prst="rect">
          <a:avLst/>
        </a:prstGeom>
      </xdr:spPr>
    </xdr:pic>
    <xdr:clientData/>
  </xdr:twoCellAnchor>
  <xdr:twoCellAnchor>
    <xdr:from>
      <xdr:col>4</xdr:col>
      <xdr:colOff>370416</xdr:colOff>
      <xdr:row>9</xdr:row>
      <xdr:rowOff>117844</xdr:rowOff>
    </xdr:from>
    <xdr:to>
      <xdr:col>6</xdr:col>
      <xdr:colOff>196208</xdr:colOff>
      <xdr:row>16</xdr:row>
      <xdr:rowOff>49883</xdr:rowOff>
    </xdr:to>
    <xdr:graphicFrame macro="">
      <xdr:nvGraphicFramePr>
        <xdr:cNvPr id="40" name="Chart 5">
          <a:extLst>
            <a:ext uri="{FF2B5EF4-FFF2-40B4-BE49-F238E27FC236}">
              <a16:creationId xmlns:a16="http://schemas.microsoft.com/office/drawing/2014/main" id="{5CF67A15-B7B7-19E2-977C-53BC86217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0</xdr:colOff>
      <xdr:row>9</xdr:row>
      <xdr:rowOff>171473</xdr:rowOff>
    </xdr:from>
    <xdr:to>
      <xdr:col>1</xdr:col>
      <xdr:colOff>287415</xdr:colOff>
      <xdr:row>16</xdr:row>
      <xdr:rowOff>86923</xdr:rowOff>
    </xdr:to>
    <xdr:graphicFrame macro="">
      <xdr:nvGraphicFramePr>
        <xdr:cNvPr id="41" name="Chart 5">
          <a:extLst>
            <a:ext uri="{FF2B5EF4-FFF2-40B4-BE49-F238E27FC236}">
              <a16:creationId xmlns:a16="http://schemas.microsoft.com/office/drawing/2014/main" id="{5BCF88A9-26CB-483A-8ADF-5A8FCE4D7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xdr:col>
      <xdr:colOff>397267</xdr:colOff>
      <xdr:row>9</xdr:row>
      <xdr:rowOff>63159</xdr:rowOff>
    </xdr:from>
    <xdr:to>
      <xdr:col>4</xdr:col>
      <xdr:colOff>581060</xdr:colOff>
      <xdr:row>12</xdr:row>
      <xdr:rowOff>116075</xdr:rowOff>
    </xdr:to>
    <mc:AlternateContent xmlns:mc="http://schemas.openxmlformats.org/markup-compatibility/2006" xmlns:a14="http://schemas.microsoft.com/office/drawing/2010/main">
      <mc:Choice Requires="a14">
        <xdr:graphicFrame macro="">
          <xdr:nvGraphicFramePr>
            <xdr:cNvPr id="42" name="Gender 2">
              <a:extLst>
                <a:ext uri="{FF2B5EF4-FFF2-40B4-BE49-F238E27FC236}">
                  <a16:creationId xmlns:a16="http://schemas.microsoft.com/office/drawing/2014/main" id="{7A1D2F90-CAC4-4121-A161-E77463EB1B6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10742" y="1806718"/>
              <a:ext cx="2024216" cy="634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241140</xdr:colOff>
      <xdr:row>9</xdr:row>
      <xdr:rowOff>96455</xdr:rowOff>
    </xdr:from>
    <xdr:to>
      <xdr:col>13</xdr:col>
      <xdr:colOff>0</xdr:colOff>
      <xdr:row>16</xdr:row>
      <xdr:rowOff>132625</xdr:rowOff>
    </xdr:to>
    <xdr:graphicFrame macro="">
      <xdr:nvGraphicFramePr>
        <xdr:cNvPr id="5" name="Chart 1">
          <a:extLst>
            <a:ext uri="{FF2B5EF4-FFF2-40B4-BE49-F238E27FC236}">
              <a16:creationId xmlns:a16="http://schemas.microsoft.com/office/drawing/2014/main" id="{DAD62A53-0E9E-640C-378F-6C6211EC5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13</xdr:col>
      <xdr:colOff>57150</xdr:colOff>
      <xdr:row>9</xdr:row>
      <xdr:rowOff>48229</xdr:rowOff>
    </xdr:from>
    <xdr:to>
      <xdr:col>19</xdr:col>
      <xdr:colOff>554182</xdr:colOff>
      <xdr:row>16</xdr:row>
      <xdr:rowOff>144684</xdr:rowOff>
    </xdr:to>
    <mc:AlternateContent xmlns:mc="http://schemas.openxmlformats.org/markup-compatibility/2006">
      <mc:Choice xmlns:cx1="http://schemas.microsoft.com/office/drawing/2015/9/8/chartex" Requires="cx1">
        <xdr:graphicFrame macro="">
          <xdr:nvGraphicFramePr>
            <xdr:cNvPr id="8" name="Chart 1">
              <a:extLst>
                <a:ext uri="{FF2B5EF4-FFF2-40B4-BE49-F238E27FC236}">
                  <a16:creationId xmlns:a16="http://schemas.microsoft.com/office/drawing/2014/main" id="{89561D46-0193-FE61-0C9A-BF1EAFB31B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7981950" y="1762729"/>
              <a:ext cx="4154632" cy="14299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62214</xdr:colOff>
      <xdr:row>17</xdr:row>
      <xdr:rowOff>0</xdr:rowOff>
    </xdr:from>
    <xdr:to>
      <xdr:col>5</xdr:col>
      <xdr:colOff>311727</xdr:colOff>
      <xdr:row>25</xdr:row>
      <xdr:rowOff>34636</xdr:rowOff>
    </xdr:to>
    <xdr:sp macro="" textlink="">
      <xdr:nvSpPr>
        <xdr:cNvPr id="101" name="Rectangle 100">
          <a:extLst>
            <a:ext uri="{FF2B5EF4-FFF2-40B4-BE49-F238E27FC236}">
              <a16:creationId xmlns:a16="http://schemas.microsoft.com/office/drawing/2014/main" id="{0D51677E-C16E-44C7-B6E1-07AA5B682900}"/>
            </a:ext>
          </a:extLst>
        </xdr:cNvPr>
        <xdr:cNvSpPr/>
      </xdr:nvSpPr>
      <xdr:spPr>
        <a:xfrm>
          <a:off x="62214" y="3238500"/>
          <a:ext cx="3280195" cy="1558636"/>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rPr>
            <a:t> ATTRITION</a:t>
          </a:r>
          <a:r>
            <a:rPr lang="en-IN" sz="1600" b="1" baseline="0">
              <a:solidFill>
                <a:schemeClr val="tx1"/>
              </a:solidFill>
              <a:latin typeface="+mn-lt"/>
            </a:rPr>
            <a:t> OVER DEPARTMENT</a:t>
          </a:r>
          <a:endParaRPr lang="en-IN" sz="1600" b="1">
            <a:solidFill>
              <a:schemeClr val="tx1"/>
            </a:solidFill>
            <a:latin typeface="+mn-lt"/>
          </a:endParaRPr>
        </a:p>
      </xdr:txBody>
    </xdr:sp>
    <xdr:clientData/>
  </xdr:twoCellAnchor>
  <xdr:twoCellAnchor>
    <xdr:from>
      <xdr:col>0</xdr:col>
      <xdr:colOff>86591</xdr:colOff>
      <xdr:row>18</xdr:row>
      <xdr:rowOff>69272</xdr:rowOff>
    </xdr:from>
    <xdr:to>
      <xdr:col>5</xdr:col>
      <xdr:colOff>329045</xdr:colOff>
      <xdr:row>25</xdr:row>
      <xdr:rowOff>48056</xdr:rowOff>
    </xdr:to>
    <xdr:graphicFrame macro="">
      <xdr:nvGraphicFramePr>
        <xdr:cNvPr id="102" name="Chart 2">
          <a:extLst>
            <a:ext uri="{FF2B5EF4-FFF2-40B4-BE49-F238E27FC236}">
              <a16:creationId xmlns:a16="http://schemas.microsoft.com/office/drawing/2014/main" id="{0E654240-73F8-FC61-97B1-C5174F2EE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401782</xdr:colOff>
      <xdr:row>16</xdr:row>
      <xdr:rowOff>155864</xdr:rowOff>
    </xdr:from>
    <xdr:to>
      <xdr:col>12</xdr:col>
      <xdr:colOff>329046</xdr:colOff>
      <xdr:row>25</xdr:row>
      <xdr:rowOff>30306</xdr:rowOff>
    </xdr:to>
    <xdr:sp macro="" textlink="">
      <xdr:nvSpPr>
        <xdr:cNvPr id="103" name="Rectangle 102">
          <a:extLst>
            <a:ext uri="{FF2B5EF4-FFF2-40B4-BE49-F238E27FC236}">
              <a16:creationId xmlns:a16="http://schemas.microsoft.com/office/drawing/2014/main" id="{86DDC5A9-08E1-4ADA-9C36-9D685E1C67AD}"/>
            </a:ext>
          </a:extLst>
        </xdr:cNvPr>
        <xdr:cNvSpPr/>
      </xdr:nvSpPr>
      <xdr:spPr>
        <a:xfrm>
          <a:off x="3432464" y="3203864"/>
          <a:ext cx="4170218" cy="1588942"/>
        </a:xfrm>
        <a:prstGeom prst="rect">
          <a:avLst/>
        </a:prstGeom>
        <a:gradFill flip="none" rotWithShape="1">
          <a:gsLst>
            <a:gs pos="31000">
              <a:schemeClr val="accent5">
                <a:lumMod val="7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rPr>
            <a:t> ATTRITION</a:t>
          </a:r>
          <a:r>
            <a:rPr lang="en-IN" sz="1600" b="1" baseline="0">
              <a:solidFill>
                <a:schemeClr val="tx1"/>
              </a:solidFill>
              <a:latin typeface="+mn-lt"/>
            </a:rPr>
            <a:t> BY MARITAL STATUS </a:t>
          </a:r>
          <a:endParaRPr lang="en-IN" sz="1600" b="1">
            <a:solidFill>
              <a:schemeClr val="tx1"/>
            </a:solidFill>
            <a:latin typeface="+mn-lt"/>
          </a:endParaRPr>
        </a:p>
      </xdr:txBody>
    </xdr:sp>
    <xdr:clientData/>
  </xdr:twoCellAnchor>
  <xdr:twoCellAnchor>
    <xdr:from>
      <xdr:col>5</xdr:col>
      <xdr:colOff>363683</xdr:colOff>
      <xdr:row>18</xdr:row>
      <xdr:rowOff>51954</xdr:rowOff>
    </xdr:from>
    <xdr:to>
      <xdr:col>12</xdr:col>
      <xdr:colOff>346364</xdr:colOff>
      <xdr:row>25</xdr:row>
      <xdr:rowOff>17318</xdr:rowOff>
    </xdr:to>
    <mc:AlternateContent xmlns:mc="http://schemas.openxmlformats.org/markup-compatibility/2006">
      <mc:Choice xmlns:cx2="http://schemas.microsoft.com/office/drawing/2015/10/21/chartex" Requires="cx2">
        <xdr:graphicFrame macro="">
          <xdr:nvGraphicFramePr>
            <xdr:cNvPr id="104" name="Chart 3">
              <a:extLst>
                <a:ext uri="{FF2B5EF4-FFF2-40B4-BE49-F238E27FC236}">
                  <a16:creationId xmlns:a16="http://schemas.microsoft.com/office/drawing/2014/main" id="{DAB51B8E-72C7-DF1F-29B4-A98A584960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3411683" y="3480954"/>
              <a:ext cx="4249881" cy="12988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473990</xdr:colOff>
      <xdr:row>17</xdr:row>
      <xdr:rowOff>15335</xdr:rowOff>
    </xdr:from>
    <xdr:to>
      <xdr:col>16</xdr:col>
      <xdr:colOff>387458</xdr:colOff>
      <xdr:row>25</xdr:row>
      <xdr:rowOff>0</xdr:rowOff>
    </xdr:to>
    <mc:AlternateContent xmlns:mc="http://schemas.openxmlformats.org/markup-compatibility/2006" xmlns:a14="http://schemas.microsoft.com/office/drawing/2010/main">
      <mc:Choice Requires="a14">
        <xdr:graphicFrame macro="">
          <xdr:nvGraphicFramePr>
            <xdr:cNvPr id="105" name="Education Field 1">
              <a:extLst>
                <a:ext uri="{FF2B5EF4-FFF2-40B4-BE49-F238E27FC236}">
                  <a16:creationId xmlns:a16="http://schemas.microsoft.com/office/drawing/2014/main" id="{0FFC00FA-FB30-4803-B10C-FC341674A1F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835685" y="3308725"/>
              <a:ext cx="2367366" cy="1534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603142</xdr:colOff>
      <xdr:row>17</xdr:row>
      <xdr:rowOff>63766</xdr:rowOff>
    </xdr:from>
    <xdr:to>
      <xdr:col>19</xdr:col>
      <xdr:colOff>484322</xdr:colOff>
      <xdr:row>25</xdr:row>
      <xdr:rowOff>32288</xdr:rowOff>
    </xdr:to>
    <mc:AlternateContent xmlns:mc="http://schemas.openxmlformats.org/markup-compatibility/2006" xmlns:a14="http://schemas.microsoft.com/office/drawing/2010/main">
      <mc:Choice Requires="a14">
        <xdr:graphicFrame macro="">
          <xdr:nvGraphicFramePr>
            <xdr:cNvPr id="106" name="Department 1">
              <a:extLst>
                <a:ext uri="{FF2B5EF4-FFF2-40B4-BE49-F238E27FC236}">
                  <a16:creationId xmlns:a16="http://schemas.microsoft.com/office/drawing/2014/main" id="{82E9B550-A5B4-4F59-8B13-23935AC9935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418735" y="3357156"/>
              <a:ext cx="1721604" cy="1518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317501</xdr:colOff>
      <xdr:row>1</xdr:row>
      <xdr:rowOff>28863</xdr:rowOff>
    </xdr:from>
    <xdr:to>
      <xdr:col>19</xdr:col>
      <xdr:colOff>259773</xdr:colOff>
      <xdr:row>3</xdr:row>
      <xdr:rowOff>101021</xdr:rowOff>
    </xdr:to>
    <xdr:sp macro="" textlink="RATING!B6">
      <xdr:nvSpPr>
        <xdr:cNvPr id="11" name="TextBox 10">
          <a:extLst>
            <a:ext uri="{FF2B5EF4-FFF2-40B4-BE49-F238E27FC236}">
              <a16:creationId xmlns:a16="http://schemas.microsoft.com/office/drawing/2014/main" id="{4BC2426A-AB2E-C1BD-8E1B-D680B1C6DDAC}"/>
            </a:ext>
          </a:extLst>
        </xdr:cNvPr>
        <xdr:cNvSpPr txBox="1"/>
      </xdr:nvSpPr>
      <xdr:spPr>
        <a:xfrm>
          <a:off x="11227956" y="216477"/>
          <a:ext cx="548408" cy="447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9306FF-8792-4CFD-89F3-238B20681513}" type="TxLink">
            <a:rPr lang="en-US" sz="2000" b="0" i="0" u="none" strike="noStrike">
              <a:solidFill>
                <a:srgbClr val="000000"/>
              </a:solidFill>
              <a:latin typeface="Calibri"/>
              <a:ea typeface="Calibri"/>
              <a:cs typeface="Calibri"/>
            </a:rPr>
            <a:t>2.1</a:t>
          </a:fld>
          <a:endParaRPr lang="en-IN"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 MALINI" refreshedDate="45533.483224305557" createdVersion="8" refreshedVersion="8" minRefreshableVersion="3" recordCount="1470" xr:uid="{B70839A0-5CBD-4859-9ECF-D76456064A1D}">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80928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835D2-42E6-4AFB-9BC2-1AF38BC5F4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
  <location ref="A3:B7" firstHeaderRow="1" firstDataRow="1" firstDataCol="1"/>
  <pivotFields count="44">
    <pivotField showAll="0"/>
    <pivotField showAll="0"/>
    <pivotField showAll="0">
      <items count="6">
        <item x="2"/>
        <item x="0"/>
        <item x="1"/>
        <item x="3"/>
        <item x="4"/>
        <item t="default"/>
      </items>
    </pivotField>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238877-065C-40F0-ACD2-BBC89DC7A7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2"/>
    </i>
    <i>
      <x v="3"/>
    </i>
    <i>
      <x v="4"/>
    </i>
    <i>
      <x v="5"/>
    </i>
    <i>
      <x v="6"/>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7ADF9-8265-4D6A-94E8-5DED764B4E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A30D8E-65DB-4884-8B75-5B2361EF8A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0A3018-474B-414F-BC6C-8E900FD359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AE2AAA-912B-40DD-8D01-9916601317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5" firstHeaderRow="0"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dataField="1"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Average of Age" fld="16" subtotal="average" baseField="0" baseItem="2" numFmtId="1"/>
    <dataField name="Sum of CF_attrition count" fld="17" baseField="0" baseItem="0"/>
  </dataFields>
  <formats count="1">
    <format>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1B808E-C0B4-43DE-8305-C9ECB42A80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5" firstHeaderRow="1" firstDataRow="1" firstDataCol="1"/>
  <pivotFields count="44">
    <pivotField showAll="0"/>
    <pivotField showAll="0"/>
    <pivotField showAll="0"/>
    <pivotField showAll="0"/>
    <pivotField axis="axisRow"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Sum of CF_attrition count" fld="17" baseField="0" baseItem="0"/>
  </dataFields>
  <chartFormats count="4">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4" count="1" selected="0">
            <x v="0"/>
          </reference>
        </references>
      </pivotArea>
    </chartFormat>
    <chartFormat chart="13" format="6">
      <pivotArea type="data" outline="0" fieldPosition="0">
        <references count="2">
          <reference field="4294967294" count="1" selected="0">
            <x v="0"/>
          </reference>
          <reference field="4" count="1" selected="0">
            <x v="1"/>
          </reference>
        </references>
      </pivotArea>
    </chartFormat>
    <chartFormat chart="13"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73ED30F-E48D-4561-B5C2-9EFFB9D17B43}" sourceName="Gender">
  <pivotTables>
    <pivotTable tabId="5" name="PivotTable3"/>
    <pivotTable tabId="4" name="PivotTable2"/>
    <pivotTable tabId="3" name="PivotTable1"/>
    <pivotTable tabId="6" name="PivotTable1"/>
  </pivotTables>
  <data>
    <tabular pivotCacheId="128092869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EC798C39-CD14-4527-9E86-8CD780513E25}" sourceName="Education Field">
  <pivotTables>
    <pivotTable tabId="13" name="PivotTable4"/>
    <pivotTable tabId="12" name="PivotTable3"/>
    <pivotTable tabId="6" name="PivotTable1"/>
    <pivotTable tabId="5" name="PivotTable3"/>
    <pivotTable tabId="4" name="PivotTable2"/>
    <pivotTable tabId="7" name="PivotTable2"/>
    <pivotTable tabId="3" name="PivotTable1"/>
  </pivotTables>
  <data>
    <tabular pivotCacheId="1280928692">
      <items count="6">
        <i x="0" s="1"/>
        <i x="2"/>
        <i x="1"/>
        <i x="4"/>
        <i x="5"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1FFB833-4A7D-435F-9317-F84EC161D268}" sourceName="Department">
  <pivotTables>
    <pivotTable tabId="12" name="PivotTable3"/>
    <pivotTable tabId="6" name="PivotTable1"/>
    <pivotTable tabId="5" name="PivotTable3"/>
    <pivotTable tabId="4" name="PivotTable2"/>
    <pivotTable tabId="7" name="PivotTable2"/>
    <pivotTable tabId="13" name="PivotTable4"/>
    <pivotTable tabId="3" name="PivotTable1"/>
  </pivotTables>
  <data>
    <tabular pivotCacheId="1280928692">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CD49CAD1-31C7-4478-827C-D30B723E223B}" cache="Slicer_Education_Field" caption="Education Fiel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0F3D875-8D7E-438F-98CF-BC4D2CCDD874}" cache="Slicer_Gender1"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6D1BC1-59AF-4A61-B315-C8645C5BEDD5}" cache="Slicer_Gender1"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54AFC50-710E-4E20-87F5-829E22E1128D}" cache="Slicer_Department" caption="Department" columnCount="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58D6994-F810-41BE-B47D-55A547D09A76}" cache="Slicer_Gender1" caption="Gender" columnCount="2" style="Slicer Style 1" rowHeight="241300"/>
  <slicer name="Education Field 1" xr10:uid="{F7A8CA3B-C762-4943-BE30-706E59911A61}" cache="Slicer_Education_Field" caption="Education Field" startItem="2" style="Slicer Style 1" rowHeight="252000"/>
  <slicer name="Department 1" xr10:uid="{C4945ACE-3FA9-450F-B121-2EF34BBB4993}" cache="Slicer_Department" caption="Department" style="Slicer Style 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E0D674-9256-478A-9707-357D2105DEFA}" name="Table1" displayName="Table1" ref="A1:AR1471" totalsRowShown="0">
  <autoFilter ref="A1:AR1471" xr:uid="{EAE0D674-9256-478A-9707-357D2105DEFA}"/>
  <tableColumns count="44">
    <tableColumn id="1" xr3:uid="{716F55D6-8771-40EA-B28D-7DE83BDCF2B4}" name="Attrition"/>
    <tableColumn id="2" xr3:uid="{25B0ECFB-88ED-497C-BDB1-BF3796D2EA92}" name="Business Travel"/>
    <tableColumn id="3" xr3:uid="{6EE064C7-DD6B-4FBF-A9E3-CA37C8F46268}" name="CF_age band"/>
    <tableColumn id="4" xr3:uid="{C727141C-9139-4B09-8712-DAA8378AB100}" name="CF_attrition label"/>
    <tableColumn id="5" xr3:uid="{64BB00D5-5A0F-41DE-B27A-56E4CFCD83AA}" name="Department"/>
    <tableColumn id="6" xr3:uid="{14CBED20-7877-4185-801F-6A8FB1CD6150}" name="Education Field"/>
    <tableColumn id="7" xr3:uid="{C0C93AC2-CEB4-409F-B2A2-23AC9C336BAB}" name="emp no"/>
    <tableColumn id="8" xr3:uid="{EE4E3C00-78FF-4FA5-B6BE-A66DF9F08D36}" name="Employee Number"/>
    <tableColumn id="9" xr3:uid="{822886A2-1D35-49E6-BCC6-EDC7F8B273DA}" name="Gender"/>
    <tableColumn id="10" xr3:uid="{75962646-346F-43F1-9525-03486B6B9260}" name="Job Role"/>
    <tableColumn id="11" xr3:uid="{0ABFE200-921A-4FC8-9ED5-31BABB52E550}" name="Marital Status"/>
    <tableColumn id="12" xr3:uid="{B4B56A46-3F12-4E78-8B1C-06FC4BC9D9A3}" name="Over Time"/>
    <tableColumn id="13" xr3:uid="{9F0795D2-5E61-43FD-94A4-B51208DEBE43}" name="Over18"/>
    <tableColumn id="14" xr3:uid="{7FD83B15-AE52-462B-BA91-91B2F9FB65CF}" name="Training Times Last Year"/>
    <tableColumn id="15" xr3:uid="{06DA3829-8BD7-478F-8987-C0C4F5851E24}" name="-2"/>
    <tableColumn id="16" xr3:uid="{48CD378D-1F3D-4857-A9DE-BFC82E4C34D8}" name="0"/>
    <tableColumn id="17" xr3:uid="{66D183BA-40C7-4935-A1D7-49A115DF486A}" name="Age"/>
    <tableColumn id="18" xr3:uid="{8886FFBE-3CC5-4E88-BFFC-1D508EB50B41}" name="CF_attrition count"/>
    <tableColumn id="19" xr3:uid="{8502C8E2-85D1-4B1E-A90E-014C57894A56}" name="CF_attrition counts"/>
    <tableColumn id="20" xr3:uid="{0A330540-5538-4299-8B14-94672A26B3BC}" name="CF_attrition rate"/>
    <tableColumn id="21" xr3:uid="{3CBBE918-DCD0-4DA7-9F2A-E896B605DA30}" name="CF_current Employee"/>
    <tableColumn id="22" xr3:uid="{EA91D1BB-1489-451A-851F-6BB783EC28B9}" name="Daily Rate"/>
    <tableColumn id="23" xr3:uid="{F2B5AB30-E8A1-4F45-B67C-B4E77FF5EDBF}" name="Distance From Home"/>
    <tableColumn id="24" xr3:uid="{C86490DC-BD53-4F47-8A96-385FA876926E}" name="Education"/>
    <tableColumn id="25" xr3:uid="{7C3B7484-5422-4BA9-9607-F27302AA2325}" name="Employee Count"/>
    <tableColumn id="26" xr3:uid="{B2B6EB7C-526D-4127-8EBB-41E4E7372AC0}" name="Environment Satisfaction"/>
    <tableColumn id="27" xr3:uid="{930ABDBA-429D-4C67-A532-0FE9D66077DD}" name="Hourly Rate"/>
    <tableColumn id="28" xr3:uid="{B82AE407-4BCD-47FA-9093-9A073300A8BE}" name="Job Involvement"/>
    <tableColumn id="29" xr3:uid="{C6F0C5C0-ABFA-455B-9FBA-F3781D1A4C79}" name="Job Level"/>
    <tableColumn id="30" xr3:uid="{F03A7B8F-B539-4D9C-A8AE-EDCC8B340092}" name="Job Satisfaction"/>
    <tableColumn id="31" xr3:uid="{09FE4FBE-3093-4CAA-BC6D-108A22D273FA}" name="Monthly Income"/>
    <tableColumn id="32" xr3:uid="{BA50263C-38A9-4BE3-AA33-06DFA1F2AB6D}" name="Monthly Rate"/>
    <tableColumn id="33" xr3:uid="{B7F0161D-C95A-45C6-80CB-B4279EF40342}" name="Num Companies Worked"/>
    <tableColumn id="34" xr3:uid="{EB28B56C-B3F0-4A52-9AD8-BFE4DCBDF15D}" name="Percent Salary Hike"/>
    <tableColumn id="35" xr3:uid="{A926A07C-6D20-4C60-A79F-296EFA234418}" name="Performance Rating"/>
    <tableColumn id="36" xr3:uid="{56A44EAD-0D05-4AD1-B005-B4FF72D02B3E}" name="Relationship Satisfaction"/>
    <tableColumn id="37" xr3:uid="{2439895D-9C31-4609-81F0-68C35E5CC4D3}" name="Standard Hours"/>
    <tableColumn id="38" xr3:uid="{6AE2B97E-062E-41D8-8234-74E40D560FDC}" name="Stock Option Level"/>
    <tableColumn id="39" xr3:uid="{24E818FB-3F4F-49F8-B888-4377F4AB4A9D}" name="Total Working Years"/>
    <tableColumn id="40" xr3:uid="{A715ECD9-30B1-4D91-A3DA-935D5F87A163}" name="Work Life Balance"/>
    <tableColumn id="41" xr3:uid="{B446AB37-7AB8-4443-87DF-53E32A9DA87F}" name="Years At Company"/>
    <tableColumn id="42" xr3:uid="{6F1D89B1-73F5-4A44-97AD-676DE6F418B3}" name="Years In Current Role"/>
    <tableColumn id="43" xr3:uid="{B369F5BF-5C50-4285-ABEA-30BDC10A86B5}" name="Years Since Last Promotion"/>
    <tableColumn id="44" xr3:uid="{68D88C7C-CA7C-4CF3-9CCC-EF4D72CDB02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2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3764-8F5B-43ED-A457-958241534E01}">
  <dimension ref="A3:B12"/>
  <sheetViews>
    <sheetView zoomScale="76" workbookViewId="0">
      <selection activeCell="A3" sqref="A3"/>
    </sheetView>
  </sheetViews>
  <sheetFormatPr defaultRowHeight="15" x14ac:dyDescent="0.25"/>
  <cols>
    <col min="1" max="1" width="11.28515625" bestFit="1" customWidth="1"/>
    <col min="2" max="2" width="23.85546875" bestFit="1" customWidth="1"/>
    <col min="3" max="4" width="7.140625" bestFit="1" customWidth="1"/>
    <col min="5" max="5" width="8" bestFit="1" customWidth="1"/>
    <col min="6" max="6" width="9.28515625" bestFit="1" customWidth="1"/>
    <col min="7" max="7" width="11.28515625" bestFit="1" customWidth="1"/>
  </cols>
  <sheetData>
    <row r="3" spans="1:2" x14ac:dyDescent="0.25">
      <c r="A3" s="1" t="s">
        <v>1569</v>
      </c>
      <c r="B3" t="s">
        <v>1557</v>
      </c>
    </row>
    <row r="4" spans="1:2" x14ac:dyDescent="0.25">
      <c r="A4" s="2" t="s">
        <v>79</v>
      </c>
      <c r="B4" s="4">
        <v>7</v>
      </c>
    </row>
    <row r="5" spans="1:2" x14ac:dyDescent="0.25">
      <c r="A5" s="2" t="s">
        <v>64</v>
      </c>
      <c r="B5" s="4">
        <v>19</v>
      </c>
    </row>
    <row r="6" spans="1:2" x14ac:dyDescent="0.25">
      <c r="A6" s="2" t="s">
        <v>53</v>
      </c>
      <c r="B6" s="4">
        <v>33</v>
      </c>
    </row>
    <row r="7" spans="1:2" x14ac:dyDescent="0.25">
      <c r="A7" s="2" t="s">
        <v>1565</v>
      </c>
      <c r="B7" s="4">
        <v>59</v>
      </c>
    </row>
    <row r="10" spans="1:2" x14ac:dyDescent="0.25">
      <c r="A10" t="str">
        <f>A4</f>
        <v>Divorced</v>
      </c>
      <c r="B10">
        <f>B4</f>
        <v>7</v>
      </c>
    </row>
    <row r="11" spans="1:2" x14ac:dyDescent="0.25">
      <c r="A11" t="str">
        <f t="shared" ref="A11:A12" si="0">A5</f>
        <v>Married</v>
      </c>
      <c r="B11">
        <f t="shared" ref="B11:B12" si="1">B5</f>
        <v>19</v>
      </c>
    </row>
    <row r="12" spans="1:2" x14ac:dyDescent="0.25">
      <c r="A12" t="str">
        <f t="shared" si="0"/>
        <v>Single</v>
      </c>
      <c r="B12">
        <f t="shared" si="1"/>
        <v>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CCA14-C36A-4E11-8EB1-86B14831788F}">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E5BBE-062D-4793-88DB-A0514FF2B519}">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69230-82E0-49BC-8C44-B016C77260ED}">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1286-4256-4D19-919C-3E7C4B249C8F}">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9F10-E0C0-4EB0-84DA-1B10E788E665}">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0CE5-E910-4008-826B-C65A6322A03C}">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AB38-113C-4AF7-BD2C-0AD00DD7A6EA}">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EE20-CC60-4ECD-929E-60957EB6BCB9}">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665F-3588-4C28-B11A-1B189934227E}">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FB675-8211-4E88-A965-6FA8C7814876}">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37F6-7F1D-4DBC-B5BE-3946C1707F35}">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211E-AAE8-4D95-8658-DCF60F50A0CB}">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9E3D-08C7-4538-B525-89940B290250}">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2F0E-F165-45E8-A97F-2DC05F6D0DE5}">
  <dimension ref="A1:AR1471"/>
  <sheetViews>
    <sheetView topLeftCell="A2" zoomScale="95" zoomScaleNormal="95" workbookViewId="0">
      <selection activeCell="B6" sqref="A1:AR1471"/>
    </sheetView>
  </sheetViews>
  <sheetFormatPr defaultRowHeight="15" x14ac:dyDescent="0.25"/>
  <cols>
    <col min="1" max="1" width="11.85546875" bestFit="1" customWidth="1"/>
    <col min="2" max="2" width="18.140625" bestFit="1" customWidth="1"/>
    <col min="3" max="3" width="15.7109375" bestFit="1" customWidth="1"/>
    <col min="4" max="4" width="20.42578125" bestFit="1" customWidth="1"/>
    <col min="5" max="5" width="15.140625" bestFit="1" customWidth="1"/>
    <col min="6" max="6" width="18.42578125" bestFit="1" customWidth="1"/>
    <col min="7" max="7" width="11.7109375" bestFit="1" customWidth="1"/>
    <col min="8" max="8" width="21.7109375" bestFit="1" customWidth="1"/>
    <col min="9" max="9" width="10.42578125" bestFit="1" customWidth="1"/>
    <col min="10" max="10" width="26.28515625" bestFit="1" customWidth="1"/>
    <col min="11" max="11" width="17.28515625" bestFit="1" customWidth="1"/>
    <col min="12" max="12" width="13.28515625" bestFit="1" customWidth="1"/>
    <col min="13" max="13" width="10.28515625" bestFit="1" customWidth="1"/>
    <col min="14" max="14" width="27.1406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BB06-6CD9-4CF3-BC1C-8D0CAD22C7EA}">
  <dimension ref="A3:C26"/>
  <sheetViews>
    <sheetView topLeftCell="A9" zoomScale="80" workbookViewId="0">
      <selection activeCell="B14" sqref="B14"/>
    </sheetView>
  </sheetViews>
  <sheetFormatPr defaultRowHeight="15" x14ac:dyDescent="0.25"/>
  <cols>
    <col min="1" max="1" width="28" bestFit="1" customWidth="1"/>
    <col min="2" max="2" width="24.28515625" bestFit="1" customWidth="1"/>
    <col min="3" max="3" width="11.28515625" bestFit="1" customWidth="1"/>
  </cols>
  <sheetData>
    <row r="3" spans="1:2" x14ac:dyDescent="0.25">
      <c r="A3" s="1" t="s">
        <v>1564</v>
      </c>
      <c r="B3" t="s">
        <v>1557</v>
      </c>
    </row>
    <row r="4" spans="1:2" x14ac:dyDescent="0.25">
      <c r="A4" s="2" t="s">
        <v>83</v>
      </c>
      <c r="B4" s="4">
        <v>2</v>
      </c>
    </row>
    <row r="5" spans="1:2" x14ac:dyDescent="0.25">
      <c r="A5" s="2" t="s">
        <v>68</v>
      </c>
      <c r="B5" s="4">
        <v>33</v>
      </c>
    </row>
    <row r="6" spans="1:2" x14ac:dyDescent="0.25">
      <c r="A6" s="2" t="s">
        <v>95</v>
      </c>
      <c r="B6" s="4">
        <v>1</v>
      </c>
    </row>
    <row r="7" spans="1:2" x14ac:dyDescent="0.25">
      <c r="A7" s="2" t="s">
        <v>81</v>
      </c>
      <c r="B7" s="4">
        <v>4</v>
      </c>
    </row>
    <row r="8" spans="1:2" x14ac:dyDescent="0.25">
      <c r="A8" s="2" t="s">
        <v>101</v>
      </c>
      <c r="B8" s="4">
        <v>1</v>
      </c>
    </row>
    <row r="9" spans="1:2" x14ac:dyDescent="0.25">
      <c r="A9" s="2" t="s">
        <v>63</v>
      </c>
      <c r="B9" s="4">
        <v>18</v>
      </c>
    </row>
    <row r="10" spans="1:2" x14ac:dyDescent="0.25">
      <c r="A10" s="2" t="s">
        <v>1565</v>
      </c>
      <c r="B10" s="4">
        <v>59</v>
      </c>
    </row>
    <row r="17" spans="2:3" x14ac:dyDescent="0.25">
      <c r="B17" t="s">
        <v>1567</v>
      </c>
      <c r="C17" t="s">
        <v>1568</v>
      </c>
    </row>
    <row r="18" spans="2:3" x14ac:dyDescent="0.25">
      <c r="B18" t="s">
        <v>83</v>
      </c>
      <c r="C18">
        <v>9</v>
      </c>
    </row>
    <row r="19" spans="2:3" x14ac:dyDescent="0.25">
      <c r="B19" t="s">
        <v>163</v>
      </c>
      <c r="C19">
        <v>12</v>
      </c>
    </row>
    <row r="20" spans="2:3" x14ac:dyDescent="0.25">
      <c r="B20" t="s">
        <v>68</v>
      </c>
      <c r="C20">
        <v>62</v>
      </c>
    </row>
    <row r="21" spans="2:3" x14ac:dyDescent="0.25">
      <c r="B21" t="s">
        <v>95</v>
      </c>
      <c r="C21">
        <v>5</v>
      </c>
    </row>
    <row r="22" spans="2:3" x14ac:dyDescent="0.25">
      <c r="B22" t="s">
        <v>81</v>
      </c>
      <c r="C22">
        <v>10</v>
      </c>
    </row>
    <row r="23" spans="2:3" x14ac:dyDescent="0.25">
      <c r="B23" t="s">
        <v>101</v>
      </c>
      <c r="C23">
        <v>2</v>
      </c>
    </row>
    <row r="24" spans="2:3" x14ac:dyDescent="0.25">
      <c r="B24" t="s">
        <v>63</v>
      </c>
      <c r="C24">
        <v>47</v>
      </c>
    </row>
    <row r="25" spans="2:3" x14ac:dyDescent="0.25">
      <c r="B25" t="s">
        <v>52</v>
      </c>
      <c r="C25">
        <v>57</v>
      </c>
    </row>
    <row r="26" spans="2:3" x14ac:dyDescent="0.25">
      <c r="B26" t="s">
        <v>99</v>
      </c>
      <c r="C26">
        <v>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CAD03-1728-41BD-8DDC-2F438C84FF11}">
  <dimension ref="A3:B9"/>
  <sheetViews>
    <sheetView topLeftCell="A2" workbookViewId="0">
      <selection activeCell="A4" sqref="A4:B8"/>
    </sheetView>
  </sheetViews>
  <sheetFormatPr defaultRowHeight="15" x14ac:dyDescent="0.25"/>
  <cols>
    <col min="1" max="1" width="17.42578125" bestFit="1" customWidth="1"/>
    <col min="2" max="2" width="23.85546875" bestFit="1" customWidth="1"/>
  </cols>
  <sheetData>
    <row r="3" spans="1:2" x14ac:dyDescent="0.25">
      <c r="A3" s="1" t="s">
        <v>1564</v>
      </c>
      <c r="B3" t="s">
        <v>1557</v>
      </c>
    </row>
    <row r="4" spans="1:2" x14ac:dyDescent="0.25">
      <c r="A4" s="2" t="s">
        <v>55</v>
      </c>
      <c r="B4" s="4">
        <v>7</v>
      </c>
    </row>
    <row r="5" spans="1:2" x14ac:dyDescent="0.25">
      <c r="A5" s="2" t="s">
        <v>77</v>
      </c>
      <c r="B5" s="4">
        <v>15</v>
      </c>
    </row>
    <row r="6" spans="1:2" x14ac:dyDescent="0.25">
      <c r="A6" s="2" t="s">
        <v>134</v>
      </c>
      <c r="B6" s="4">
        <v>0</v>
      </c>
    </row>
    <row r="7" spans="1:2" x14ac:dyDescent="0.25">
      <c r="A7" s="2" t="s">
        <v>65</v>
      </c>
      <c r="B7" s="4">
        <v>2</v>
      </c>
    </row>
    <row r="8" spans="1:2" x14ac:dyDescent="0.25">
      <c r="A8" s="2" t="s">
        <v>71</v>
      </c>
      <c r="B8" s="4">
        <v>11</v>
      </c>
    </row>
    <row r="9" spans="1:2" x14ac:dyDescent="0.25">
      <c r="A9" s="2" t="s">
        <v>1565</v>
      </c>
      <c r="B9" s="4">
        <v>35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18052-60B7-4A04-A14F-553537C6B1A1}">
  <dimension ref="A3:C10"/>
  <sheetViews>
    <sheetView workbookViewId="0">
      <selection activeCell="N31" sqref="N31"/>
    </sheetView>
  </sheetViews>
  <sheetFormatPr defaultRowHeight="15" x14ac:dyDescent="0.25"/>
  <cols>
    <col min="1" max="1" width="13.140625" bestFit="1" customWidth="1"/>
    <col min="2" max="2" width="22.5703125" bestFit="1" customWidth="1"/>
  </cols>
  <sheetData>
    <row r="3" spans="1:3" x14ac:dyDescent="0.25">
      <c r="A3" s="1" t="s">
        <v>1564</v>
      </c>
      <c r="B3" t="s">
        <v>1566</v>
      </c>
    </row>
    <row r="4" spans="1:3" x14ac:dyDescent="0.25">
      <c r="A4" s="2" t="s">
        <v>62</v>
      </c>
      <c r="B4" s="4">
        <v>274</v>
      </c>
    </row>
    <row r="5" spans="1:3" x14ac:dyDescent="0.25">
      <c r="A5" s="2" t="s">
        <v>1565</v>
      </c>
      <c r="B5" s="4">
        <v>274</v>
      </c>
    </row>
    <row r="9" spans="1:3" x14ac:dyDescent="0.25">
      <c r="A9" t="s">
        <v>51</v>
      </c>
      <c r="B9">
        <f>IFERROR(GETPIVOTDATA("Employee Count",$A$3,"Gender","Female"),0)</f>
        <v>0</v>
      </c>
      <c r="C9">
        <f>IFERROR(B9/($B$9+$B$10),0)</f>
        <v>0</v>
      </c>
    </row>
    <row r="10" spans="1:3" x14ac:dyDescent="0.25">
      <c r="A10" t="s">
        <v>62</v>
      </c>
      <c r="B10">
        <f>IFERROR(GETPIVOTDATA("Employee Count",$A$3,"Gender","Male"),0)</f>
        <v>274</v>
      </c>
      <c r="C10">
        <f>IFERROR(B10/($B$9+$B$10),0)</f>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FB98-10C6-4E5A-A2E6-67236D7E30C0}">
  <dimension ref="A3:C7"/>
  <sheetViews>
    <sheetView topLeftCell="A2" zoomScale="74" zoomScaleNormal="100" workbookViewId="0">
      <selection activeCell="B7" sqref="B7"/>
    </sheetView>
  </sheetViews>
  <sheetFormatPr defaultRowHeight="15" x14ac:dyDescent="0.25"/>
  <cols>
    <col min="1" max="1" width="25.42578125" bestFit="1" customWidth="1"/>
  </cols>
  <sheetData>
    <row r="3" spans="1:3" x14ac:dyDescent="0.25">
      <c r="A3" t="s">
        <v>1561</v>
      </c>
    </row>
    <row r="4" spans="1:3" x14ac:dyDescent="0.25">
      <c r="A4" s="4">
        <v>2.1423357664233578</v>
      </c>
    </row>
    <row r="6" spans="1:3" x14ac:dyDescent="0.25">
      <c r="A6" t="s">
        <v>1562</v>
      </c>
      <c r="B6" s="5">
        <f>GETPIVOTDATA("Job Satisfaction",$A$3)</f>
        <v>2.1423357664233578</v>
      </c>
      <c r="C6">
        <f>B6/4</f>
        <v>0.53558394160583944</v>
      </c>
    </row>
    <row r="7" spans="1:3" x14ac:dyDescent="0.25">
      <c r="A7" t="s">
        <v>1563</v>
      </c>
      <c r="B7">
        <f>4-B6</f>
        <v>1.8576642335766422</v>
      </c>
      <c r="C7">
        <f>B7/4</f>
        <v>0.46441605839416056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2516-0E4F-42C6-965F-B0BED4CDD261}">
  <dimension ref="B4:F7"/>
  <sheetViews>
    <sheetView workbookViewId="0">
      <selection activeCell="C7" sqref="C7"/>
    </sheetView>
  </sheetViews>
  <sheetFormatPr defaultRowHeight="15" x14ac:dyDescent="0.25"/>
  <cols>
    <col min="2" max="2" width="15.85546875" bestFit="1" customWidth="1"/>
    <col min="3" max="3" width="14.5703125" bestFit="1" customWidth="1"/>
    <col min="4" max="5" width="23.85546875" bestFit="1" customWidth="1"/>
    <col min="6" max="6" width="12.28515625" bestFit="1" customWidth="1"/>
  </cols>
  <sheetData>
    <row r="4" spans="2:6" x14ac:dyDescent="0.25">
      <c r="B4" t="s">
        <v>1554</v>
      </c>
      <c r="C4" t="s">
        <v>1555</v>
      </c>
      <c r="D4" t="s">
        <v>1557</v>
      </c>
    </row>
    <row r="5" spans="2:6" x14ac:dyDescent="0.25">
      <c r="B5" s="4">
        <v>274</v>
      </c>
      <c r="C5" s="3">
        <v>37.295620437956202</v>
      </c>
      <c r="D5" s="4">
        <v>35</v>
      </c>
    </row>
    <row r="6" spans="2:6" x14ac:dyDescent="0.25">
      <c r="B6" t="s">
        <v>1559</v>
      </c>
      <c r="C6" t="s">
        <v>1555</v>
      </c>
      <c r="D6" t="s">
        <v>1560</v>
      </c>
      <c r="E6" t="s">
        <v>1556</v>
      </c>
      <c r="F6" t="s">
        <v>1558</v>
      </c>
    </row>
    <row r="7" spans="2:6" x14ac:dyDescent="0.25">
      <c r="B7">
        <f>GETPIVOTDATA("Count of emp no",$B$4)</f>
        <v>274</v>
      </c>
      <c r="C7" s="3">
        <f>GETPIVOTDATA("Average of Age",$B$4)</f>
        <v>37.295620437956202</v>
      </c>
      <c r="D7">
        <f>GETPIVOTDATA("Sum of CF_attrition count",$B$4)</f>
        <v>35</v>
      </c>
      <c r="E7">
        <f>B7-D7</f>
        <v>239</v>
      </c>
      <c r="F7">
        <f>D7/B7</f>
        <v>0.12773722627737227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E3042-7B89-4875-BADE-137B0C0E36DC}">
  <dimension ref="A3:B5"/>
  <sheetViews>
    <sheetView topLeftCell="A2" workbookViewId="0">
      <selection activeCell="N31" sqref="N31"/>
    </sheetView>
  </sheetViews>
  <sheetFormatPr defaultRowHeight="15" x14ac:dyDescent="0.25"/>
  <cols>
    <col min="1" max="1" width="13.140625" bestFit="1" customWidth="1"/>
    <col min="2" max="2" width="23.85546875" bestFit="1" customWidth="1"/>
    <col min="3" max="4" width="21.7109375" bestFit="1" customWidth="1"/>
  </cols>
  <sheetData>
    <row r="3" spans="1:2" x14ac:dyDescent="0.25">
      <c r="A3" s="1" t="s">
        <v>1564</v>
      </c>
      <c r="B3" t="s">
        <v>1557</v>
      </c>
    </row>
    <row r="4" spans="1:2" x14ac:dyDescent="0.25">
      <c r="A4" s="2" t="s">
        <v>60</v>
      </c>
      <c r="B4" s="4">
        <v>59</v>
      </c>
    </row>
    <row r="5" spans="1:2" x14ac:dyDescent="0.25">
      <c r="A5" s="2" t="s">
        <v>1565</v>
      </c>
      <c r="B5" s="4">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BD4ED-801F-4069-96DF-5AF6CEE748B6}">
  <dimension ref="A1"/>
  <sheetViews>
    <sheetView tabSelected="1" zoomScale="66" zoomScaleNormal="130" workbookViewId="0">
      <selection activeCell="W8" sqref="W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Sheet8</vt:lpstr>
      <vt:lpstr>Sheet1</vt:lpstr>
      <vt:lpstr>Sheet2</vt:lpstr>
      <vt:lpstr>Sheet3</vt:lpstr>
      <vt:lpstr>Sheet4</vt:lpstr>
      <vt:lpstr>Sheet5</vt:lpstr>
      <vt:lpstr>Sheet6</vt:lpstr>
      <vt:lpstr>Sheet7</vt:lpstr>
      <vt:lpstr>Sheet9</vt:lpstr>
      <vt:lpstr>Sheet10</vt:lpstr>
      <vt:lpstr>Sheet11</vt:lpstr>
      <vt:lpstr>Sheet12</vt:lpstr>
      <vt:lpstr>Sheet13</vt:lpstr>
      <vt:lpstr>Sheet14</vt:lpstr>
      <vt:lpstr>Data</vt:lpstr>
      <vt:lpstr>ATTRITION BY JOB ROLE</vt:lpstr>
      <vt:lpstr>EDUCATION CHART</vt:lpstr>
      <vt:lpstr>MALE ANSD FEMALE</vt:lpstr>
      <vt:lpstr>RATING</vt:lpstr>
      <vt:lpstr>total employee</vt:lpstr>
      <vt:lpstr>DEPARTMENT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 MALINI</dc:creator>
  <cp:lastModifiedBy>HEMA MALINI</cp:lastModifiedBy>
  <dcterms:created xsi:type="dcterms:W3CDTF">2024-08-29T05:35:06Z</dcterms:created>
  <dcterms:modified xsi:type="dcterms:W3CDTF">2024-08-30T04:41:04Z</dcterms:modified>
</cp:coreProperties>
</file>